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Касса" sheetId="1" state="visible" r:id="rId2"/>
    <sheet name="Расход" sheetId="2" state="visible" r:id="rId3"/>
    <sheet name="Сводная" sheetId="3" state="visible" r:id="rId4"/>
    <sheet name="зп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3" authorId="0">
      <text>
        <r>
          <rPr>
            <sz val="10"/>
            <color rgb="FF000000"/>
            <rFont val="Arial"/>
            <family val="2"/>
            <charset val="204"/>
          </rPr>
          <t xml:space="preserve">% от Выручки</t>
        </r>
      </text>
    </comment>
    <comment ref="C8" authorId="0">
      <text>
        <r>
          <rPr>
            <sz val="10"/>
            <color rgb="FF000000"/>
            <rFont val="Arial"/>
            <family val="2"/>
            <charset val="204"/>
          </rPr>
          <t xml:space="preserve">% от Выручки КУХНИ</t>
        </r>
      </text>
    </comment>
    <comment ref="C10" authorId="0">
      <text>
        <r>
          <rPr>
            <sz val="10"/>
            <color rgb="FF000000"/>
            <rFont val="Arial"/>
            <family val="2"/>
            <charset val="204"/>
          </rPr>
          <t xml:space="preserve">% от Выручки БАРА</t>
        </r>
      </text>
    </comment>
  </commentList>
</comments>
</file>

<file path=xl/sharedStrings.xml><?xml version="1.0" encoding="utf-8"?>
<sst xmlns="http://schemas.openxmlformats.org/spreadsheetml/2006/main" count="237" uniqueCount="157">
  <si>
    <t xml:space="preserve">наличные</t>
  </si>
  <si>
    <t xml:space="preserve">рубли</t>
  </si>
  <si>
    <t xml:space="preserve">бн</t>
  </si>
  <si>
    <t xml:space="preserve">яндекс</t>
  </si>
  <si>
    <t xml:space="preserve">кр код</t>
  </si>
  <si>
    <t xml:space="preserve">общая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</si>
  <si>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</si>
  <si>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Дата</t>
  </si>
  <si>
    <t xml:space="preserve">Закуп</t>
  </si>
  <si>
    <t xml:space="preserve">зп</t>
  </si>
  <si>
    <t xml:space="preserve">оплата поставщики</t>
  </si>
  <si>
    <t xml:space="preserve">маркетинг</t>
  </si>
  <si>
    <t xml:space="preserve">связь, интерет</t>
  </si>
  <si>
    <t xml:space="preserve">посуда</t>
  </si>
  <si>
    <t xml:space="preserve">МБП зал</t>
  </si>
  <si>
    <t xml:space="preserve">форма</t>
  </si>
  <si>
    <t xml:space="preserve">Полиграфия</t>
  </si>
  <si>
    <t xml:space="preserve">доставка</t>
  </si>
  <si>
    <t xml:space="preserve">Услуги контрагентов</t>
  </si>
  <si>
    <t xml:space="preserve">сервис</t>
  </si>
  <si>
    <t xml:space="preserve">призы</t>
  </si>
  <si>
    <t xml:space="preserve">чай</t>
  </si>
  <si>
    <t xml:space="preserve">Покупка оборудования</t>
  </si>
  <si>
    <t xml:space="preserve">Ремонт оборудования</t>
  </si>
  <si>
    <t xml:space="preserve">Коммунальные услуги</t>
  </si>
  <si>
    <t xml:space="preserve">Аренда жилья</t>
  </si>
  <si>
    <t xml:space="preserve">крыша</t>
  </si>
  <si>
    <t xml:space="preserve">Развлекательная программа</t>
  </si>
  <si>
    <t xml:space="preserve">аренда </t>
  </si>
  <si>
    <t xml:space="preserve">декор</t>
  </si>
  <si>
    <t xml:space="preserve">аптека</t>
  </si>
  <si>
    <t xml:space="preserve">Итого                    ДЕНЬ</t>
  </si>
  <si>
    <t xml:space="preserve">Сумма</t>
  </si>
  <si>
    <t xml:space="preserve">Комментарий</t>
  </si>
  <si>
    <t xml:space="preserve">%</t>
  </si>
  <si>
    <t xml:space="preserve">фискальник</t>
  </si>
  <si>
    <t xml:space="preserve">монтаж индукции</t>
  </si>
  <si>
    <t xml:space="preserve">стажер</t>
  </si>
  <si>
    <t xml:space="preserve">монтаж индукция</t>
  </si>
  <si>
    <t xml:space="preserve">джан расчет</t>
  </si>
  <si>
    <t xml:space="preserve">стирка штор</t>
  </si>
  <si>
    <t xml:space="preserve">наргиз</t>
  </si>
  <si>
    <t xml:space="preserve">юля</t>
  </si>
  <si>
    <t xml:space="preserve">иза</t>
  </si>
  <si>
    <t xml:space="preserve">коля</t>
  </si>
  <si>
    <t xml:space="preserve">таргет</t>
  </si>
  <si>
    <t xml:space="preserve">дима зп</t>
  </si>
  <si>
    <t xml:space="preserve">дима аванс</t>
  </si>
  <si>
    <t xml:space="preserve">вк</t>
  </si>
  <si>
    <t xml:space="preserve">Ваня</t>
  </si>
  <si>
    <t xml:space="preserve">настя оф</t>
  </si>
  <si>
    <t xml:space="preserve">иван зп</t>
  </si>
  <si>
    <t xml:space="preserve">катя зп</t>
  </si>
  <si>
    <t xml:space="preserve">влад</t>
  </si>
  <si>
    <t xml:space="preserve">арина</t>
  </si>
  <si>
    <t xml:space="preserve">николай аванс бар</t>
  </si>
  <si>
    <t xml:space="preserve">даша</t>
  </si>
  <si>
    <t xml:space="preserve">андрей</t>
  </si>
  <si>
    <t xml:space="preserve">наргиз расчет</t>
  </si>
  <si>
    <t xml:space="preserve">арина отзывы</t>
  </si>
  <si>
    <t xml:space="preserve">настя отзывы</t>
  </si>
  <si>
    <t xml:space="preserve">иза аванс</t>
  </si>
  <si>
    <t xml:space="preserve">катя аванс</t>
  </si>
  <si>
    <t xml:space="preserve">иван аванс</t>
  </si>
  <si>
    <t xml:space="preserve">ольга аванс </t>
  </si>
  <si>
    <t xml:space="preserve">аванс клининг</t>
  </si>
  <si>
    <t xml:space="preserve">Итого</t>
  </si>
  <si>
    <t xml:space="preserve">Итого ТРАКТИР</t>
  </si>
  <si>
    <t xml:space="preserve">ВСЕГО</t>
  </si>
  <si>
    <t xml:space="preserve">ь</t>
  </si>
  <si>
    <t xml:space="preserve">туман</t>
  </si>
  <si>
    <t xml:space="preserve">Баланс </t>
  </si>
  <si>
    <t xml:space="preserve">Выручка КУХНЯ</t>
  </si>
  <si>
    <t xml:space="preserve">Активы</t>
  </si>
  <si>
    <t xml:space="preserve">Выручка бар ба</t>
  </si>
  <si>
    <t xml:space="preserve">Выручка БАР</t>
  </si>
  <si>
    <t xml:space="preserve">склад бар</t>
  </si>
  <si>
    <t xml:space="preserve">средний чек</t>
  </si>
  <si>
    <t xml:space="preserve">Выручка Кальян</t>
  </si>
  <si>
    <t xml:space="preserve">склад кухня</t>
  </si>
  <si>
    <t xml:space="preserve">чеков</t>
  </si>
  <si>
    <t xml:space="preserve">Выручка</t>
  </si>
  <si>
    <t xml:space="preserve">склад табак</t>
  </si>
  <si>
    <t xml:space="preserve">скидки </t>
  </si>
  <si>
    <t xml:space="preserve">Расход кухня</t>
  </si>
  <si>
    <t xml:space="preserve">Расход бар б/а</t>
  </si>
  <si>
    <t xml:space="preserve">Расход бар алко</t>
  </si>
  <si>
    <t xml:space="preserve">Расход кальян</t>
  </si>
  <si>
    <t xml:space="preserve">Рабочее питание </t>
  </si>
  <si>
    <t xml:space="preserve">Отработка блюд\смм/фото</t>
  </si>
  <si>
    <t xml:space="preserve">Порча, списание КУХНЯ</t>
  </si>
  <si>
    <t xml:space="preserve">питание учредители</t>
  </si>
  <si>
    <t xml:space="preserve">Порча, списание БАР</t>
  </si>
  <si>
    <t xml:space="preserve">сергей</t>
  </si>
  <si>
    <t xml:space="preserve">Комплименты</t>
  </si>
  <si>
    <t xml:space="preserve">сусанна</t>
  </si>
  <si>
    <t xml:space="preserve">Расход </t>
  </si>
  <si>
    <t xml:space="preserve">тимур</t>
  </si>
  <si>
    <t xml:space="preserve">Иван</t>
  </si>
  <si>
    <t xml:space="preserve">смм</t>
  </si>
  <si>
    <t xml:space="preserve">фирма</t>
  </si>
  <si>
    <t xml:space="preserve">услуги контрагентов</t>
  </si>
  <si>
    <t xml:space="preserve">Цветы и декор</t>
  </si>
  <si>
    <t xml:space="preserve">Связь интернет</t>
  </si>
  <si>
    <t xml:space="preserve">ъ</t>
  </si>
  <si>
    <t xml:space="preserve">развлекательная программа</t>
  </si>
  <si>
    <t xml:space="preserve">Итого Активы</t>
  </si>
  <si>
    <t xml:space="preserve">Пассивы</t>
  </si>
  <si>
    <t xml:space="preserve">долги поставщики</t>
  </si>
  <si>
    <t xml:space="preserve">Коммунальные расходы</t>
  </si>
  <si>
    <t xml:space="preserve">Крыша</t>
  </si>
  <si>
    <t xml:space="preserve">Услуги эквайринга</t>
  </si>
  <si>
    <t xml:space="preserve">Аренда   </t>
  </si>
  <si>
    <t xml:space="preserve">хозы оплачено</t>
  </si>
  <si>
    <t xml:space="preserve">налоги</t>
  </si>
  <si>
    <t xml:space="preserve">Итого Пассивы</t>
  </si>
  <si>
    <t xml:space="preserve">барный барган-вода</t>
  </si>
  <si>
    <t xml:space="preserve">_</t>
  </si>
  <si>
    <t xml:space="preserve">айко\рао и воис\космектиклаб\то место|айко</t>
  </si>
  <si>
    <t xml:space="preserve">Приход</t>
  </si>
  <si>
    <t xml:space="preserve">Расход</t>
  </si>
  <si>
    <t xml:space="preserve">Прибыль</t>
  </si>
  <si>
    <t xml:space="preserve">рао и воис</t>
  </si>
  <si>
    <t xml:space="preserve">комплекс</t>
  </si>
  <si>
    <t xml:space="preserve">табак</t>
  </si>
  <si>
    <t xml:space="preserve">айко</t>
  </si>
  <si>
    <t xml:space="preserve">хозы</t>
  </si>
  <si>
    <t xml:space="preserve">леонилис</t>
  </si>
  <si>
    <t xml:space="preserve">зюзина</t>
  </si>
  <si>
    <t xml:space="preserve">налог</t>
  </si>
  <si>
    <t xml:space="preserve">свит</t>
  </si>
  <si>
    <t xml:space="preserve">красота</t>
  </si>
  <si>
    <t xml:space="preserve">восток</t>
  </si>
  <si>
    <t xml:space="preserve">глобал</t>
  </si>
  <si>
    <t xml:space="preserve">бариста</t>
  </si>
  <si>
    <t xml:space="preserve">кола</t>
  </si>
  <si>
    <t xml:space="preserve">гис</t>
  </si>
  <si>
    <t xml:space="preserve">фреш</t>
  </si>
  <si>
    <t xml:space="preserve">алко</t>
  </si>
  <si>
    <t xml:space="preserve">ботаники</t>
  </si>
  <si>
    <t xml:space="preserve">алко симпл</t>
  </si>
  <si>
    <t xml:space="preserve">ПИВО</t>
  </si>
  <si>
    <t xml:space="preserve">пиво</t>
  </si>
  <si>
    <t xml:space="preserve">косметик</t>
  </si>
  <si>
    <t xml:space="preserve">ХОЗЫ</t>
  </si>
  <si>
    <t xml:space="preserve">Влад КМ</t>
  </si>
  <si>
    <t xml:space="preserve">Андрей КМ</t>
  </si>
  <si>
    <t xml:space="preserve">Коля</t>
  </si>
  <si>
    <t xml:space="preserve">Катя</t>
  </si>
  <si>
    <t xml:space="preserve">Арина</t>
  </si>
  <si>
    <t xml:space="preserve">Даша</t>
  </si>
  <si>
    <t xml:space="preserve">Анастасия</t>
  </si>
  <si>
    <t xml:space="preserve">Иза</t>
  </si>
  <si>
    <t xml:space="preserve">Дима</t>
  </si>
  <si>
    <t xml:space="preserve">Джан</t>
  </si>
  <si>
    <t xml:space="preserve">Наргиз</t>
  </si>
  <si>
    <t xml:space="preserve">=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</si>
</sst>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"/>
    <numFmt numFmtId="166" formatCode="dd\.mm\.yyyy"/>
    <numFmt numFmtId="167" formatCode="0.00"/>
    <numFmt numFmtId="168" formatCode="#,##0"/>
    <numFmt numFmtId="169" formatCode="0.00%"/>
    <numFmt numFmtId="170" formatCode="_-* #,##0.00&quot; ₽&quot;_-;\-* #,##0.00&quot; ₽&quot;_-;_-* \-??&quot; ₽&quot;_-;_-@_-"/>
    <numFmt numFmtId="171" formatCode="_-* #,##0&quot; ₽&quot;_-;\-* #,##0&quot; ₽&quot;_-;_-* \-??&quot; ₽&quot;_-;_-@_-"/>
    <numFmt numFmtId="172" formatCode="_-* #,##0\ [$₽-419]_-;\-* #,##0\ [$₽-419]_-;_-* &quot;- &quot;[$₽-419]_-;_-@_-"/>
  </numFmts>
  <fonts count="22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Calibri"/>
      <family val="2"/>
      <charset val="204"/>
    </font>
    <font>
      <sz val="12"/>
      <color rgb="FF000000"/>
      <name val="Arial"/>
      <family val="2"/>
      <charset val="204"/>
    </font>
    <font>
      <b val="true"/>
      <sz val="12"/>
      <color rgb="FF000000"/>
      <name val="Arial"/>
      <family val="2"/>
      <charset val="204"/>
    </font>
    <font>
      <b val="true"/>
      <sz val="14"/>
      <color rgb="FFFF0000"/>
      <name val="Arial"/>
      <family val="2"/>
      <charset val="204"/>
    </font>
    <font>
      <b val="true"/>
      <sz val="14"/>
      <color rgb="FF000000"/>
      <name val="Arial"/>
      <family val="2"/>
      <charset val="204"/>
    </font>
    <font>
      <sz val="18"/>
      <color rgb="FF000000"/>
      <name val="Arial"/>
      <family val="2"/>
      <charset val="204"/>
    </font>
    <font>
      <sz val="10"/>
      <name val="Arial"/>
      <family val="2"/>
      <charset val="204"/>
    </font>
    <font>
      <sz val="8"/>
      <color rgb="FF000000"/>
      <name val="Arial"/>
      <family val="2"/>
      <charset val="204"/>
    </font>
    <font>
      <b val="true"/>
      <sz val="12"/>
      <color rgb="FF000000"/>
      <name val="Calibri"/>
      <family val="2"/>
      <charset val="204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2"/>
      <color rgb="FFDD0806"/>
      <name val="arial"/>
      <family val="0"/>
      <charset val="1"/>
    </font>
    <font>
      <sz val="14"/>
      <color rgb="FF000000"/>
      <name val="Arial"/>
      <family val="2"/>
      <charset val="204"/>
    </font>
    <font>
      <sz val="10"/>
      <name val="Segoe UI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A4C2F4"/>
        <bgColor rgb="FFB3CEFB"/>
      </patternFill>
    </fill>
    <fill>
      <patternFill patternType="solid">
        <fgColor rgb="FFFFFFFF"/>
        <bgColor rgb="FFD9E7FD"/>
      </patternFill>
    </fill>
    <fill>
      <patternFill patternType="solid">
        <fgColor rgb="FFD9E7FD"/>
        <bgColor rgb="FFC9DAF8"/>
      </patternFill>
    </fill>
    <fill>
      <patternFill patternType="solid">
        <fgColor rgb="FFA6E4B7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BD9D7"/>
      </patternFill>
    </fill>
    <fill>
      <patternFill patternType="solid">
        <fgColor rgb="FFC9DAF8"/>
        <bgColor rgb="FFD9E7FD"/>
      </patternFill>
    </fill>
    <fill>
      <patternFill patternType="solid">
        <fgColor rgb="FFF4CCCC"/>
        <bgColor rgb="FFEAD1DC"/>
      </patternFill>
    </fill>
    <fill>
      <patternFill patternType="solid">
        <fgColor rgb="FF6AA84F"/>
        <bgColor rgb="FF808080"/>
      </patternFill>
    </fill>
    <fill>
      <patternFill patternType="solid">
        <fgColor rgb="FFBF9000"/>
        <bgColor rgb="FFFF9900"/>
      </patternFill>
    </fill>
    <fill>
      <patternFill patternType="solid">
        <fgColor rgb="FFF6B26B"/>
        <bgColor rgb="FFE6B8AF"/>
      </patternFill>
    </fill>
    <fill>
      <patternFill patternType="solid">
        <fgColor rgb="FFEA9999"/>
        <bgColor rgb="FFF28E86"/>
      </patternFill>
    </fill>
    <fill>
      <patternFill patternType="solid">
        <fgColor rgb="FFA2C4C9"/>
        <bgColor rgb="FFA4C2F4"/>
      </patternFill>
    </fill>
    <fill>
      <patternFill patternType="solid">
        <fgColor rgb="FFB6D7A8"/>
        <bgColor rgb="FFA6E4B7"/>
      </patternFill>
    </fill>
    <fill>
      <patternFill patternType="solid">
        <fgColor rgb="FFE6B8AF"/>
        <bgColor rgb="FFF4CCCC"/>
      </patternFill>
    </fill>
    <fill>
      <patternFill patternType="solid">
        <fgColor rgb="FFEAD1DC"/>
        <bgColor rgb="FFF4CCCC"/>
      </patternFill>
    </fill>
    <fill>
      <patternFill patternType="solid">
        <fgColor rgb="FFFF9900"/>
        <bgColor rgb="FFBF9000"/>
      </patternFill>
    </fill>
    <fill>
      <patternFill patternType="solid">
        <fgColor rgb="FFFBD9D7"/>
        <bgColor rgb="FFEAD1DC"/>
      </patternFill>
    </fill>
    <fill>
      <patternFill patternType="solid">
        <fgColor rgb="FFF28E86"/>
        <bgColor rgb="FFEA9999"/>
      </patternFill>
    </fill>
    <fill>
      <patternFill patternType="solid">
        <fgColor rgb="FFB3CEFB"/>
        <bgColor rgb="FFA4C2F4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ck"/>
      <right/>
      <top/>
      <bottom style="hair"/>
      <diagonal/>
    </border>
    <border diagonalUp="false" diagonalDown="false">
      <left style="dotted"/>
      <right/>
      <top/>
      <bottom style="hair"/>
      <diagonal/>
    </border>
    <border diagonalUp="false" diagonalDown="false">
      <left style="thick"/>
      <right/>
      <top style="hair"/>
      <bottom style="hair"/>
      <diagonal/>
    </border>
    <border diagonalUp="false" diagonalDown="false">
      <left style="dotted"/>
      <right/>
      <top style="hair"/>
      <bottom style="hair"/>
      <diagonal/>
    </border>
    <border diagonalUp="false" diagonalDown="false">
      <left style="thick"/>
      <right/>
      <top/>
      <bottom/>
      <diagonal/>
    </border>
    <border diagonalUp="false" diagonalDown="false">
      <left style="thick"/>
      <right/>
      <top style="hair"/>
      <bottom/>
      <diagonal/>
    </border>
    <border diagonalUp="false" diagonalDown="false">
      <left style="dotted"/>
      <right/>
      <top style="hair"/>
      <bottom/>
      <diagonal/>
    </border>
    <border diagonalUp="false" diagonalDown="false">
      <left style="thick"/>
      <right/>
      <top style="hair"/>
      <bottom style="thin"/>
      <diagonal/>
    </border>
    <border diagonalUp="false" diagonalDown="false">
      <left style="dotted"/>
      <right/>
      <top style="hair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dotted"/>
      <right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center" textRotation="0" wrapText="false" indent="3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3" shrinkToFit="false"/>
      <protection locked="true" hidden="false"/>
    </xf>
    <xf numFmtId="164" fontId="5" fillId="3" borderId="3" xfId="0" applyFont="true" applyBorder="true" applyAlignment="true" applyProtection="false">
      <alignment horizontal="right" vertical="center" textRotation="0" wrapText="false" indent="3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15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8" fillId="2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2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2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1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0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F9000"/>
      <rgbColor rgb="FF800080"/>
      <rgbColor rgb="FF008080"/>
      <rgbColor rgb="FFA2C4C9"/>
      <rgbColor rgb="FF808080"/>
      <rgbColor rgb="FFEAD1DC"/>
      <rgbColor rgb="FF993366"/>
      <rgbColor rgb="FFFBD9D7"/>
      <rgbColor rgb="FFD9E7FD"/>
      <rgbColor rgb="FF660066"/>
      <rgbColor rgb="FFF28E86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3CEFB"/>
      <rgbColor rgb="FFA6E4B7"/>
      <rgbColor rgb="FFFFE599"/>
      <rgbColor rgb="FFA4C2F4"/>
      <rgbColor rgb="FFEA9999"/>
      <rgbColor rgb="FFE6B8AF"/>
      <rgbColor rgb="FFF4CCCC"/>
      <rgbColor rgb="FF3366FF"/>
      <rgbColor rgb="FF33CCCC"/>
      <rgbColor rgb="FF99CC00"/>
      <rgbColor rgb="FFF6B26B"/>
      <rgbColor rgb="FFFF9900"/>
      <rgbColor rgb="FFFF6600"/>
      <rgbColor rgb="FF666699"/>
      <rgbColor rgb="FFB6D7A8"/>
      <rgbColor rgb="FF003366"/>
      <rgbColor rgb="FF6AA84F"/>
      <rgbColor rgb="FF003300"/>
      <rgbColor rgb="FF333300"/>
      <rgbColor rgb="FFDD0806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0FF00"/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2" activePane="bottomLeft" state="frozen"/>
      <selection pane="topLeft" activeCell="A1" activeCellId="0" sqref="A1"/>
      <selection pane="bottomLeft" activeCell="D16" activeCellId="0" sqref="D16"/>
    </sheetView>
  </sheetViews>
  <sheetFormatPr defaultColWidth="14.515625" defaultRowHeight="15.75" zeroHeight="false" outlineLevelRow="0" outlineLevelCol="0"/>
  <cols>
    <col collapsed="false" customWidth="true" hidden="false" outlineLevel="0" max="1" min="1" style="0" width="8.51"/>
    <col collapsed="false" customWidth="true" hidden="false" outlineLevel="0" max="4" min="4" style="0" width="36.33"/>
    <col collapsed="false" customWidth="true" hidden="false" outlineLevel="0" max="5" min="5" style="0" width="19.84"/>
  </cols>
  <sheetData>
    <row r="1" customFormat="false" ht="13" hidden="false" customHeight="false" outlineLevel="0" collapsed="false">
      <c r="B1" s="1" t="s">
        <v>0</v>
      </c>
      <c r="C1" s="1" t="s">
        <v>1</v>
      </c>
      <c r="D1" s="2" t="s">
        <v>2</v>
      </c>
      <c r="E1" s="2" t="s">
        <v>3</v>
      </c>
      <c r="F1" s="3" t="s">
        <v>4</v>
      </c>
      <c r="G1" s="3" t="s">
        <v>5</v>
      </c>
    </row>
    <row r="2" customFormat="false" ht="13" hidden="false" customHeight="false" outlineLevel="0" collapsed="false">
      <c r="A2" s="0" t="n">
        <v>1</v>
      </c>
      <c r="B2" s="4" t="n">
        <v>3879</v>
      </c>
      <c r="C2" s="5" t="n">
        <v>18987</v>
      </c>
      <c r="D2" s="6" t="n">
        <v>242186</v>
      </c>
      <c r="E2" s="7" t="n">
        <v>2928</v>
      </c>
      <c r="F2" s="8"/>
      <c r="G2" s="9" t="n">
        <v>267980</v>
      </c>
    </row>
    <row r="3" customFormat="false" ht="13" hidden="false" customHeight="false" outlineLevel="0" collapsed="false">
      <c r="A3" s="0" t="n">
        <v>2</v>
      </c>
      <c r="B3" s="10" t="n">
        <v>210</v>
      </c>
      <c r="C3" s="8" t="n">
        <v>28357</v>
      </c>
      <c r="D3" s="11" t="n">
        <v>144207</v>
      </c>
      <c r="E3" s="12"/>
      <c r="F3" s="8" t="n">
        <v>5590</v>
      </c>
      <c r="G3" s="4" t="n">
        <v>178364</v>
      </c>
    </row>
    <row r="4" customFormat="false" ht="13" hidden="false" customHeight="false" outlineLevel="0" collapsed="false">
      <c r="A4" s="0" t="n">
        <v>3</v>
      </c>
      <c r="B4" s="10" t="n">
        <v>370</v>
      </c>
      <c r="C4" s="8" t="n">
        <v>12640</v>
      </c>
      <c r="D4" s="13" t="n">
        <v>166992</v>
      </c>
      <c r="E4" s="0" t="n">
        <v>5600</v>
      </c>
      <c r="F4" s="8"/>
      <c r="G4" s="4" t="n">
        <v>185602</v>
      </c>
    </row>
    <row r="5" customFormat="false" ht="13" hidden="false" customHeight="false" outlineLevel="0" collapsed="false">
      <c r="A5" s="0" t="n">
        <v>4</v>
      </c>
      <c r="B5" s="10" t="n">
        <v>500</v>
      </c>
      <c r="C5" s="8" t="n">
        <v>36322</v>
      </c>
      <c r="D5" s="11" t="n">
        <v>124934</v>
      </c>
      <c r="E5" s="12" t="n">
        <v>1912</v>
      </c>
      <c r="F5" s="8" t="n">
        <v>2460</v>
      </c>
      <c r="G5" s="4" t="n">
        <v>166128</v>
      </c>
    </row>
    <row r="6" customFormat="false" ht="13" hidden="false" customHeight="false" outlineLevel="0" collapsed="false">
      <c r="A6" s="0" t="n">
        <v>5</v>
      </c>
      <c r="B6" s="10" t="n">
        <v>1720</v>
      </c>
      <c r="C6" s="8" t="n">
        <v>33663</v>
      </c>
      <c r="D6" s="11" t="n">
        <v>128216</v>
      </c>
      <c r="E6" s="12" t="n">
        <v>2144</v>
      </c>
      <c r="F6" s="8" t="n">
        <v>14946</v>
      </c>
      <c r="G6" s="4" t="n">
        <v>184473</v>
      </c>
    </row>
    <row r="7" customFormat="false" ht="13" hidden="false" customHeight="false" outlineLevel="0" collapsed="false">
      <c r="A7" s="0" t="n">
        <v>6</v>
      </c>
      <c r="B7" s="10" t="n">
        <v>280</v>
      </c>
      <c r="C7" s="8" t="n">
        <v>33213</v>
      </c>
      <c r="D7" s="11" t="n">
        <v>144552</v>
      </c>
      <c r="E7" s="12" t="n">
        <v>3768</v>
      </c>
      <c r="F7" s="8"/>
      <c r="G7" s="4" t="n">
        <v>181813</v>
      </c>
    </row>
    <row r="8" customFormat="false" ht="13" hidden="false" customHeight="false" outlineLevel="0" collapsed="false">
      <c r="A8" s="0" t="n">
        <v>7</v>
      </c>
      <c r="B8" s="10" t="n">
        <v>1870</v>
      </c>
      <c r="C8" s="8" t="n">
        <v>38560</v>
      </c>
      <c r="D8" s="11" t="n">
        <v>149608</v>
      </c>
      <c r="E8" s="12" t="n">
        <v>4440</v>
      </c>
      <c r="F8" s="8"/>
      <c r="G8" s="4" t="n">
        <v>194478</v>
      </c>
    </row>
    <row r="9" customFormat="false" ht="13" hidden="false" customHeight="false" outlineLevel="0" collapsed="false">
      <c r="A9" s="0" t="n">
        <v>8</v>
      </c>
      <c r="B9" s="10" t="n">
        <v>11495</v>
      </c>
      <c r="C9" s="8" t="n">
        <v>52204</v>
      </c>
      <c r="D9" s="14" t="n">
        <v>202745</v>
      </c>
      <c r="E9" s="15"/>
      <c r="F9" s="16" t="n">
        <v>4440</v>
      </c>
      <c r="G9" s="4" t="n">
        <v>270884</v>
      </c>
    </row>
    <row r="10" customFormat="false" ht="13" hidden="false" customHeight="false" outlineLevel="0" collapsed="false">
      <c r="A10" s="0" t="n">
        <v>9</v>
      </c>
      <c r="B10" s="10" t="n">
        <v>4350</v>
      </c>
      <c r="C10" s="8" t="n">
        <v>42430</v>
      </c>
      <c r="D10" s="14" t="n">
        <v>127582</v>
      </c>
      <c r="E10" s="15"/>
      <c r="F10" s="16" t="n">
        <v>3370</v>
      </c>
      <c r="G10" s="4" t="n">
        <v>177732</v>
      </c>
    </row>
    <row r="11" customFormat="false" ht="13" hidden="false" customHeight="false" outlineLevel="0" collapsed="false">
      <c r="A11" s="0" t="n">
        <v>10</v>
      </c>
      <c r="B11" s="10" t="n">
        <v>1710</v>
      </c>
      <c r="C11" s="8" t="n">
        <v>14653</v>
      </c>
      <c r="D11" s="14" t="n">
        <v>130430</v>
      </c>
      <c r="E11" s="15"/>
      <c r="F11" s="16"/>
      <c r="G11" s="4" t="n">
        <v>146793</v>
      </c>
    </row>
    <row r="12" customFormat="false" ht="13" hidden="false" customHeight="false" outlineLevel="0" collapsed="false">
      <c r="A12" s="0" t="n">
        <v>11</v>
      </c>
      <c r="B12" s="10" t="n">
        <v>2356</v>
      </c>
      <c r="C12" s="8" t="n">
        <v>74062</v>
      </c>
      <c r="D12" s="11" t="n">
        <v>76412</v>
      </c>
      <c r="E12" s="12"/>
      <c r="F12" s="8" t="n">
        <v>798</v>
      </c>
      <c r="G12" s="4" t="n">
        <v>163628</v>
      </c>
    </row>
    <row r="13" customFormat="false" ht="13" hidden="false" customHeight="false" outlineLevel="0" collapsed="false">
      <c r="A13" s="0" t="n">
        <v>12</v>
      </c>
      <c r="B13" s="10" t="n">
        <v>2000</v>
      </c>
      <c r="C13" s="8" t="n">
        <v>36724</v>
      </c>
      <c r="D13" s="11" t="n">
        <v>89806</v>
      </c>
      <c r="E13" s="12" t="n">
        <v>4000</v>
      </c>
      <c r="F13" s="8" t="n">
        <v>2590</v>
      </c>
      <c r="G13" s="4" t="n">
        <v>135120</v>
      </c>
    </row>
    <row r="14" customFormat="false" ht="13" hidden="false" customHeight="false" outlineLevel="0" collapsed="false">
      <c r="A14" s="0" t="n">
        <v>13</v>
      </c>
      <c r="B14" s="10" t="n">
        <v>689</v>
      </c>
      <c r="C14" s="8" t="n">
        <v>30777</v>
      </c>
      <c r="D14" s="14" t="n">
        <v>140578</v>
      </c>
      <c r="E14" s="15"/>
      <c r="F14" s="8"/>
      <c r="G14" s="4" t="n">
        <v>172044</v>
      </c>
    </row>
    <row r="15" customFormat="false" ht="13" hidden="false" customHeight="false" outlineLevel="0" collapsed="false">
      <c r="A15" s="0" t="n">
        <v>14</v>
      </c>
      <c r="B15" s="10" t="n">
        <v>1573</v>
      </c>
      <c r="C15" s="8" t="n">
        <v>16895</v>
      </c>
      <c r="D15" s="11" t="n">
        <v>147987</v>
      </c>
      <c r="E15" s="12"/>
      <c r="F15" s="8" t="n">
        <v>4750</v>
      </c>
      <c r="G15" s="4" t="n">
        <v>171205</v>
      </c>
    </row>
    <row r="16" customFormat="false" ht="13" hidden="false" customHeight="false" outlineLevel="0" collapsed="false">
      <c r="A16" s="0" t="n">
        <v>15</v>
      </c>
      <c r="B16" s="10" t="n">
        <v>8235</v>
      </c>
      <c r="C16" s="8" t="n">
        <v>45881</v>
      </c>
      <c r="D16" s="11" t="n">
        <v>140883</v>
      </c>
      <c r="E16" s="12" t="n">
        <v>1456</v>
      </c>
      <c r="F16" s="8" t="n">
        <v>456</v>
      </c>
      <c r="G16" s="4" t="n">
        <v>196911</v>
      </c>
    </row>
    <row r="17" customFormat="false" ht="13" hidden="false" customHeight="false" outlineLevel="0" collapsed="false">
      <c r="A17" s="0" t="n">
        <v>16</v>
      </c>
      <c r="B17" s="10" t="n">
        <v>2700</v>
      </c>
      <c r="C17" s="8" t="n">
        <v>20238</v>
      </c>
      <c r="D17" s="11" t="n">
        <v>100513</v>
      </c>
      <c r="E17" s="12"/>
      <c r="F17" s="8"/>
      <c r="G17" s="4" t="n">
        <v>123451</v>
      </c>
    </row>
    <row r="18" customFormat="false" ht="13" hidden="false" customHeight="false" outlineLevel="0" collapsed="false">
      <c r="A18" s="0" t="n">
        <v>17</v>
      </c>
      <c r="B18" s="10" t="n">
        <v>280</v>
      </c>
      <c r="C18" s="8" t="n">
        <v>41550</v>
      </c>
      <c r="D18" s="11" t="n">
        <v>122065</v>
      </c>
      <c r="E18" s="12" t="n">
        <v>2568</v>
      </c>
      <c r="F18" s="8"/>
      <c r="G18" s="4" t="n">
        <v>166463</v>
      </c>
    </row>
    <row r="19" customFormat="false" ht="13" hidden="false" customHeight="false" outlineLevel="0" collapsed="false">
      <c r="A19" s="0" t="n">
        <v>18</v>
      </c>
      <c r="B19" s="10" t="n">
        <v>345</v>
      </c>
      <c r="C19" s="8" t="n">
        <v>35301</v>
      </c>
      <c r="D19" s="11" t="n">
        <v>77495</v>
      </c>
      <c r="E19" s="12" t="n">
        <v>8440</v>
      </c>
      <c r="F19" s="8"/>
      <c r="G19" s="4" t="n">
        <v>121581</v>
      </c>
    </row>
    <row r="20" customFormat="false" ht="13" hidden="false" customHeight="false" outlineLevel="0" collapsed="false">
      <c r="A20" s="0" t="n">
        <v>19</v>
      </c>
      <c r="B20" s="10" t="n">
        <v>3080</v>
      </c>
      <c r="C20" s="8" t="n">
        <v>38260</v>
      </c>
      <c r="D20" s="17" t="n">
        <v>131292</v>
      </c>
      <c r="E20" s="12" t="n">
        <v>432</v>
      </c>
      <c r="F20" s="8" t="n">
        <v>9100</v>
      </c>
      <c r="G20" s="4" t="n">
        <v>182164</v>
      </c>
    </row>
    <row r="21" customFormat="false" ht="13" hidden="false" customHeight="false" outlineLevel="0" collapsed="false">
      <c r="A21" s="0" t="n">
        <v>20</v>
      </c>
      <c r="B21" s="10" t="n">
        <v>1000</v>
      </c>
      <c r="C21" s="8" t="n">
        <v>36950</v>
      </c>
      <c r="D21" s="13" t="n">
        <v>102502</v>
      </c>
      <c r="E21" s="12" t="n">
        <v>2320</v>
      </c>
      <c r="F21" s="8" t="n">
        <v>4490</v>
      </c>
      <c r="G21" s="4" t="n">
        <v>147262</v>
      </c>
    </row>
    <row r="22" customFormat="false" ht="13" hidden="false" customHeight="false" outlineLevel="0" collapsed="false">
      <c r="A22" s="0" t="n">
        <v>21</v>
      </c>
      <c r="B22" s="10" t="n">
        <v>2270</v>
      </c>
      <c r="C22" s="8" t="n">
        <v>50220</v>
      </c>
      <c r="D22" s="13" t="n">
        <v>72700</v>
      </c>
      <c r="E22" s="12" t="n">
        <v>3528</v>
      </c>
      <c r="F22" s="8" t="n">
        <v>3160</v>
      </c>
      <c r="G22" s="4" t="n">
        <v>131878</v>
      </c>
    </row>
    <row r="23" customFormat="false" ht="13" hidden="false" customHeight="false" outlineLevel="0" collapsed="false">
      <c r="A23" s="0" t="n">
        <v>22</v>
      </c>
      <c r="B23" s="10" t="n">
        <v>1050</v>
      </c>
      <c r="C23" s="8" t="n">
        <v>15522</v>
      </c>
      <c r="D23" s="13" t="n">
        <v>114123</v>
      </c>
      <c r="E23" s="18"/>
      <c r="F23" s="8"/>
      <c r="G23" s="4" t="n">
        <v>130695</v>
      </c>
    </row>
    <row r="24" customFormat="false" ht="13" hidden="false" customHeight="false" outlineLevel="0" collapsed="false">
      <c r="A24" s="0" t="n">
        <v>23</v>
      </c>
      <c r="B24" s="10" t="n">
        <v>11710</v>
      </c>
      <c r="C24" s="8" t="n">
        <v>3469</v>
      </c>
      <c r="D24" s="13" t="n">
        <v>159631</v>
      </c>
      <c r="E24" s="12"/>
      <c r="F24" s="8" t="n">
        <v>1764</v>
      </c>
      <c r="G24" s="4" t="n">
        <v>197795</v>
      </c>
    </row>
    <row r="25" customFormat="false" ht="13" hidden="false" customHeight="false" outlineLevel="0" collapsed="false">
      <c r="A25" s="0" t="n">
        <v>24</v>
      </c>
      <c r="B25" s="10"/>
      <c r="C25" s="8" t="n">
        <v>19290</v>
      </c>
      <c r="D25" s="13" t="n">
        <v>103338</v>
      </c>
      <c r="E25" s="12" t="n">
        <v>1616</v>
      </c>
      <c r="F25" s="8"/>
      <c r="G25" s="4" t="n">
        <v>124244</v>
      </c>
    </row>
    <row r="26" customFormat="false" ht="13" hidden="false" customHeight="false" outlineLevel="0" collapsed="false">
      <c r="A26" s="0" t="n">
        <v>25</v>
      </c>
      <c r="B26" s="19" t="n">
        <v>730</v>
      </c>
      <c r="C26" s="20" t="n">
        <v>42396</v>
      </c>
      <c r="D26" s="13" t="n">
        <v>111713</v>
      </c>
      <c r="E26" s="12" t="n">
        <v>864</v>
      </c>
      <c r="F26" s="8"/>
      <c r="G26" s="4" t="n">
        <v>155703</v>
      </c>
    </row>
    <row r="27" customFormat="false" ht="13" hidden="false" customHeight="false" outlineLevel="0" collapsed="false">
      <c r="A27" s="0" t="n">
        <v>26</v>
      </c>
      <c r="B27" s="19"/>
      <c r="C27" s="20"/>
      <c r="D27" s="13"/>
      <c r="E27" s="12"/>
      <c r="F27" s="8"/>
      <c r="G27" s="4"/>
    </row>
    <row r="28" customFormat="false" ht="13" hidden="false" customHeight="false" outlineLevel="0" collapsed="false">
      <c r="A28" s="0" t="n">
        <v>27</v>
      </c>
      <c r="B28" s="19"/>
      <c r="C28" s="20"/>
      <c r="D28" s="13"/>
      <c r="E28" s="12"/>
      <c r="F28" s="8"/>
      <c r="G28" s="4"/>
    </row>
    <row r="29" customFormat="false" ht="13" hidden="false" customHeight="false" outlineLevel="0" collapsed="false">
      <c r="A29" s="0" t="n">
        <v>28</v>
      </c>
      <c r="B29" s="19"/>
      <c r="C29" s="20"/>
      <c r="D29" s="13"/>
      <c r="E29" s="12"/>
      <c r="F29" s="8"/>
      <c r="G29" s="4"/>
    </row>
    <row r="30" customFormat="false" ht="13" hidden="false" customHeight="false" outlineLevel="0" collapsed="false">
      <c r="A30" s="0" t="n">
        <v>29</v>
      </c>
      <c r="B30" s="19"/>
      <c r="C30" s="20"/>
      <c r="D30" s="13"/>
      <c r="E30" s="12"/>
      <c r="F30" s="8"/>
      <c r="G30" s="4"/>
    </row>
    <row r="31" customFormat="false" ht="13" hidden="false" customHeight="false" outlineLevel="0" collapsed="false">
      <c r="A31" s="0" t="n">
        <v>30</v>
      </c>
      <c r="B31" s="19"/>
      <c r="C31" s="20"/>
      <c r="D31" s="13"/>
      <c r="E31" s="12"/>
      <c r="F31" s="8"/>
      <c r="G31" s="4"/>
    </row>
    <row r="32" customFormat="false" ht="13" hidden="false" customHeight="false" outlineLevel="0" collapsed="false">
      <c r="A32" s="0" t="n">
        <v>31</v>
      </c>
      <c r="D32" s="13"/>
      <c r="E32" s="12"/>
      <c r="F32" s="8"/>
      <c r="G32" s="4"/>
    </row>
    <row r="33" customFormat="false" ht="13" hidden="false" customHeight="false" outlineLevel="0" collapsed="false">
      <c r="D33" s="12"/>
      <c r="E33" s="12"/>
      <c r="F33" s="8"/>
      <c r="G33" s="4"/>
    </row>
    <row r="34" customFormat="false" ht="13" hidden="false" customHeight="false" outlineLevel="0" collapsed="false">
      <c r="D34" s="12"/>
      <c r="E34" s="12"/>
      <c r="F34" s="8"/>
      <c r="G34" s="4"/>
    </row>
    <row r="35" customFormat="false" ht="13" hidden="false" customHeight="false" outlineLevel="0" collapsed="false">
      <c r="D35" s="12"/>
      <c r="E35" s="12"/>
      <c r="F35" s="8"/>
      <c r="G35" s="4"/>
    </row>
    <row r="36" customFormat="false" ht="13" hidden="false" customHeight="false" outlineLevel="0" collapsed="false">
      <c r="D36" s="12"/>
      <c r="E36" s="12"/>
      <c r="F36" s="8"/>
      <c r="G36" s="4"/>
    </row>
    <row r="37" customFormat="false" ht="13" hidden="false" customHeight="false" outlineLevel="0" collapsed="false">
      <c r="D37" s="12"/>
      <c r="E37" s="12"/>
      <c r="F37" s="8"/>
      <c r="G37" s="4"/>
    </row>
    <row r="38" customFormat="false" ht="13" hidden="false" customHeight="false" outlineLevel="0" collapsed="false">
      <c r="B38" s="10"/>
      <c r="C38" s="8"/>
      <c r="D38" s="12"/>
      <c r="E38" s="12"/>
      <c r="F38" s="8"/>
      <c r="G38" s="4"/>
    </row>
    <row r="39" customFormat="false" ht="13" hidden="false" customHeight="false" outlineLevel="0" collapsed="false">
      <c r="B39" s="10"/>
      <c r="C39" s="8"/>
      <c r="D39" s="12"/>
      <c r="E39" s="12"/>
      <c r="F39" s="8"/>
      <c r="G39" s="4"/>
    </row>
    <row r="40" customFormat="false" ht="13" hidden="false" customHeight="false" outlineLevel="0" collapsed="false">
      <c r="B40" s="10"/>
      <c r="C40" s="8"/>
      <c r="D40" s="12"/>
      <c r="E40" s="12"/>
      <c r="F40" s="8"/>
      <c r="G40" s="4"/>
    </row>
    <row r="41" customFormat="false" ht="13" hidden="false" customHeight="false" outlineLevel="0" collapsed="false">
      <c r="B41" s="10"/>
      <c r="C41" s="8"/>
      <c r="D41" s="12"/>
      <c r="E41" s="12"/>
      <c r="F41" s="8"/>
      <c r="G41" s="4"/>
    </row>
    <row r="42" customFormat="false" ht="13" hidden="false" customHeight="false" outlineLevel="0" collapsed="false">
      <c r="B42" s="10"/>
      <c r="C42" s="8"/>
      <c r="D42" s="12"/>
      <c r="E42" s="12"/>
      <c r="F42" s="8"/>
      <c r="G42" s="4"/>
    </row>
    <row r="43" customFormat="false" ht="13" hidden="false" customHeight="false" outlineLevel="0" collapsed="false">
      <c r="B43" s="10"/>
      <c r="C43" s="8"/>
      <c r="D43" s="12"/>
      <c r="E43" s="12"/>
      <c r="F43" s="8"/>
      <c r="G43" s="4"/>
    </row>
    <row r="44" customFormat="false" ht="13" hidden="false" customHeight="false" outlineLevel="0" collapsed="false">
      <c r="B44" s="10"/>
      <c r="C44" s="8"/>
      <c r="D44" s="12"/>
      <c r="E44" s="12"/>
      <c r="F44" s="8"/>
      <c r="G44" s="4"/>
    </row>
    <row r="45" customFormat="false" ht="13" hidden="false" customHeight="false" outlineLevel="0" collapsed="false">
      <c r="B45" s="10"/>
      <c r="C45" s="8"/>
      <c r="D45" s="15"/>
      <c r="E45" s="15"/>
      <c r="F45" s="16"/>
      <c r="G45" s="4"/>
    </row>
    <row r="46" customFormat="false" ht="13" hidden="false" customHeight="false" outlineLevel="0" collapsed="false">
      <c r="B46" s="10"/>
      <c r="C46" s="8"/>
      <c r="D46" s="15"/>
      <c r="E46" s="15"/>
      <c r="F46" s="16"/>
      <c r="G46" s="4"/>
    </row>
    <row r="47" customFormat="false" ht="13" hidden="false" customHeight="false" outlineLevel="0" collapsed="false">
      <c r="B47" s="10"/>
      <c r="C47" s="8"/>
      <c r="D47" s="12"/>
      <c r="E47" s="12"/>
      <c r="F47" s="8"/>
      <c r="G47" s="4"/>
    </row>
    <row r="48" customFormat="false" ht="13" hidden="false" customHeight="false" outlineLevel="0" collapsed="false">
      <c r="B48" s="10"/>
      <c r="C48" s="8"/>
      <c r="D48" s="12"/>
      <c r="E48" s="12"/>
      <c r="F48" s="8"/>
      <c r="G48" s="4"/>
    </row>
    <row r="49" customFormat="false" ht="13" hidden="false" customHeight="false" outlineLevel="0" collapsed="false">
      <c r="B49" s="10"/>
      <c r="C49" s="8"/>
      <c r="D49" s="12"/>
      <c r="E49" s="12"/>
      <c r="F49" s="8"/>
      <c r="G49" s="4"/>
    </row>
    <row r="50" customFormat="false" ht="13" hidden="false" customHeight="false" outlineLevel="0" collapsed="false">
      <c r="B50" s="10"/>
      <c r="C50" s="8"/>
      <c r="D50" s="12"/>
      <c r="E50" s="12"/>
      <c r="F50" s="16"/>
      <c r="G50" s="4"/>
    </row>
    <row r="51" customFormat="false" ht="13" hidden="false" customHeight="false" outlineLevel="0" collapsed="false">
      <c r="B51" s="10"/>
      <c r="C51" s="8"/>
      <c r="D51" s="12"/>
      <c r="E51" s="12"/>
      <c r="F51" s="8"/>
      <c r="G51" s="4"/>
    </row>
    <row r="52" customFormat="false" ht="13" hidden="false" customHeight="false" outlineLevel="0" collapsed="false">
      <c r="B52" s="10"/>
      <c r="C52" s="8"/>
      <c r="D52" s="12"/>
      <c r="E52" s="12"/>
      <c r="F52" s="8"/>
      <c r="G52" s="4"/>
    </row>
    <row r="53" customFormat="false" ht="13" hidden="false" customHeight="false" outlineLevel="0" collapsed="false">
      <c r="B53" s="10"/>
      <c r="C53" s="8"/>
      <c r="D53" s="12"/>
      <c r="E53" s="12"/>
      <c r="F53" s="8"/>
      <c r="G53" s="4"/>
    </row>
    <row r="54" customFormat="false" ht="13" hidden="false" customHeight="false" outlineLevel="0" collapsed="false">
      <c r="B54" s="10"/>
      <c r="C54" s="8"/>
      <c r="D54" s="12"/>
      <c r="E54" s="12"/>
      <c r="F54" s="8"/>
      <c r="G54" s="4"/>
    </row>
    <row r="55" customFormat="false" ht="13" hidden="false" customHeight="false" outlineLevel="0" collapsed="false">
      <c r="B55" s="10"/>
      <c r="C55" s="8"/>
      <c r="D55" s="12"/>
      <c r="E55" s="12"/>
      <c r="F55" s="8"/>
      <c r="G55" s="4"/>
    </row>
    <row r="56" customFormat="false" ht="13" hidden="false" customHeight="false" outlineLevel="0" collapsed="false">
      <c r="B56" s="10"/>
      <c r="C56" s="8"/>
      <c r="D56" s="12"/>
      <c r="E56" s="12"/>
      <c r="F56" s="16"/>
      <c r="G56" s="4"/>
    </row>
    <row r="57" customFormat="false" ht="13" hidden="false" customHeight="false" outlineLevel="0" collapsed="false">
      <c r="B57" s="10"/>
      <c r="C57" s="8"/>
      <c r="D57" s="12"/>
      <c r="E57" s="12"/>
      <c r="F57" s="8"/>
      <c r="G57" s="4"/>
    </row>
    <row r="58" customFormat="false" ht="13" hidden="false" customHeight="false" outlineLevel="0" collapsed="false">
      <c r="B58" s="10"/>
      <c r="C58" s="8"/>
      <c r="D58" s="12"/>
      <c r="E58" s="12"/>
      <c r="F58" s="8"/>
      <c r="G58" s="4"/>
    </row>
    <row r="59" customFormat="false" ht="13" hidden="false" customHeight="false" outlineLevel="0" collapsed="false">
      <c r="B59" s="10"/>
      <c r="C59" s="8"/>
      <c r="D59" s="12"/>
      <c r="E59" s="12"/>
      <c r="F59" s="8"/>
      <c r="G59" s="4"/>
    </row>
    <row r="60" customFormat="false" ht="13" hidden="false" customHeight="false" outlineLevel="0" collapsed="false">
      <c r="B60" s="10"/>
      <c r="C60" s="8"/>
      <c r="D60" s="12"/>
      <c r="E60" s="12"/>
      <c r="F60" s="8"/>
      <c r="G60" s="4"/>
    </row>
    <row r="61" customFormat="false" ht="13" hidden="false" customHeight="false" outlineLevel="0" collapsed="false">
      <c r="B61" s="10"/>
      <c r="C61" s="8"/>
      <c r="D61" s="12"/>
      <c r="E61" s="12"/>
      <c r="F61" s="8"/>
      <c r="G61" s="4"/>
    </row>
    <row r="62" customFormat="false" ht="13" hidden="false" customHeight="false" outlineLevel="0" collapsed="false">
      <c r="B62" s="10"/>
      <c r="C62" s="8"/>
      <c r="D62" s="15"/>
      <c r="E62" s="15"/>
      <c r="F62" s="16"/>
      <c r="G62" s="4"/>
    </row>
    <row r="63" customFormat="false" ht="13" hidden="false" customHeight="false" outlineLevel="0" collapsed="false">
      <c r="B63" s="10"/>
      <c r="C63" s="8"/>
      <c r="D63" s="12"/>
      <c r="E63" s="12"/>
      <c r="F63" s="8"/>
      <c r="G63" s="4"/>
    </row>
    <row r="64" customFormat="false" ht="13" hidden="false" customHeight="false" outlineLevel="0" collapsed="false">
      <c r="B64" s="10"/>
      <c r="C64" s="8"/>
      <c r="D64" s="12"/>
      <c r="E64" s="12"/>
      <c r="F64" s="8"/>
      <c r="G64" s="4"/>
    </row>
    <row r="65" customFormat="false" ht="13" hidden="false" customHeight="false" outlineLevel="0" collapsed="false">
      <c r="B65" s="10"/>
      <c r="C65" s="8"/>
      <c r="D65" s="12"/>
      <c r="E65" s="12"/>
      <c r="F65" s="8"/>
      <c r="G65" s="4"/>
    </row>
    <row r="66" customFormat="false" ht="13" hidden="false" customHeight="false" outlineLevel="0" collapsed="false">
      <c r="B66" s="10"/>
      <c r="C66" s="8"/>
      <c r="D66" s="12"/>
      <c r="E66" s="12"/>
      <c r="F66" s="8"/>
      <c r="G66" s="4"/>
    </row>
    <row r="67" customFormat="false" ht="13" hidden="false" customHeight="false" outlineLevel="0" collapsed="false">
      <c r="B67" s="10"/>
      <c r="C67" s="8"/>
      <c r="D67" s="12"/>
      <c r="E67" s="12"/>
      <c r="F67" s="8"/>
      <c r="G67" s="4"/>
    </row>
    <row r="68" customFormat="false" ht="13" hidden="false" customHeight="false" outlineLevel="0" collapsed="false">
      <c r="B68" s="10"/>
      <c r="C68" s="8"/>
      <c r="D68" s="12"/>
      <c r="E68" s="12"/>
      <c r="F68" s="8"/>
      <c r="G68" s="4"/>
    </row>
    <row r="69" customFormat="false" ht="13" hidden="false" customHeight="false" outlineLevel="0" collapsed="false">
      <c r="B69" s="10"/>
      <c r="C69" s="8"/>
      <c r="D69" s="12"/>
      <c r="E69" s="12"/>
      <c r="F69" s="8"/>
      <c r="G69" s="4"/>
    </row>
    <row r="70" customFormat="false" ht="13" hidden="false" customHeight="false" outlineLevel="0" collapsed="false">
      <c r="B70" s="10"/>
      <c r="C70" s="8"/>
      <c r="D70" s="12"/>
      <c r="E70" s="12"/>
      <c r="F70" s="8"/>
      <c r="G70" s="4"/>
    </row>
    <row r="71" customFormat="false" ht="13" hidden="false" customHeight="false" outlineLevel="0" collapsed="false">
      <c r="B71" s="10"/>
      <c r="C71" s="8"/>
      <c r="D71" s="12"/>
      <c r="E71" s="12"/>
      <c r="F71" s="8"/>
      <c r="G71" s="4"/>
    </row>
    <row r="72" customFormat="false" ht="13" hidden="false" customHeight="false" outlineLevel="0" collapsed="false">
      <c r="B72" s="10"/>
      <c r="C72" s="8"/>
      <c r="D72" s="12"/>
      <c r="E72" s="12"/>
      <c r="F72" s="8"/>
      <c r="G72" s="4"/>
    </row>
    <row r="73" customFormat="false" ht="13" hidden="false" customHeight="false" outlineLevel="0" collapsed="false">
      <c r="B73" s="10"/>
      <c r="C73" s="8"/>
      <c r="D73" s="12"/>
      <c r="E73" s="12"/>
      <c r="F73" s="8"/>
      <c r="G73" s="4"/>
    </row>
    <row r="74" customFormat="false" ht="13" hidden="false" customHeight="false" outlineLevel="0" collapsed="false">
      <c r="B74" s="10"/>
      <c r="C74" s="8"/>
      <c r="D74" s="12"/>
      <c r="E74" s="12"/>
      <c r="F74" s="8"/>
      <c r="G74" s="4"/>
    </row>
    <row r="75" customFormat="false" ht="13" hidden="false" customHeight="false" outlineLevel="0" collapsed="false">
      <c r="B75" s="10"/>
      <c r="C75" s="8"/>
      <c r="D75" s="12"/>
      <c r="E75" s="12"/>
      <c r="F75" s="8"/>
      <c r="G75" s="4"/>
    </row>
    <row r="76" customFormat="false" ht="13" hidden="false" customHeight="false" outlineLevel="0" collapsed="false">
      <c r="B76" s="10"/>
      <c r="C76" s="8"/>
      <c r="D76" s="12"/>
      <c r="E76" s="12"/>
      <c r="F76" s="8"/>
      <c r="G76" s="4"/>
    </row>
    <row r="77" customFormat="false" ht="13" hidden="false" customHeight="false" outlineLevel="0" collapsed="false">
      <c r="B77" s="10"/>
      <c r="C77" s="8"/>
      <c r="D77" s="12"/>
      <c r="E77" s="12"/>
      <c r="F77" s="8"/>
      <c r="G77" s="4"/>
    </row>
    <row r="78" customFormat="false" ht="13" hidden="false" customHeight="false" outlineLevel="0" collapsed="false">
      <c r="B78" s="10"/>
      <c r="C78" s="8"/>
      <c r="D78" s="12"/>
      <c r="E78" s="12"/>
      <c r="F78" s="8"/>
      <c r="G78" s="4"/>
    </row>
    <row r="79" customFormat="false" ht="13" hidden="false" customHeight="false" outlineLevel="0" collapsed="false">
      <c r="B79" s="10"/>
      <c r="C79" s="8"/>
      <c r="D79" s="12"/>
      <c r="E79" s="12"/>
      <c r="F79" s="8"/>
      <c r="G79" s="4"/>
    </row>
    <row r="80" customFormat="false" ht="13" hidden="false" customHeight="false" outlineLevel="0" collapsed="false">
      <c r="B80" s="10"/>
      <c r="C80" s="8"/>
      <c r="D80" s="12"/>
      <c r="E80" s="12"/>
      <c r="F80" s="8"/>
      <c r="G80" s="4"/>
    </row>
    <row r="81" customFormat="false" ht="13" hidden="false" customHeight="false" outlineLevel="0" collapsed="false">
      <c r="B81" s="10"/>
      <c r="C81" s="8"/>
      <c r="D81" s="12"/>
      <c r="E81" s="12"/>
      <c r="F81" s="8"/>
      <c r="G81" s="4"/>
    </row>
    <row r="82" customFormat="false" ht="14" hidden="false" customHeight="false" outlineLevel="0" collapsed="false">
      <c r="B82" s="21"/>
      <c r="C82" s="22"/>
      <c r="D82" s="12"/>
      <c r="E82" s="12"/>
      <c r="F82" s="8"/>
      <c r="G82" s="4"/>
    </row>
    <row r="83" customFormat="false" ht="13" hidden="false" customHeight="false" outlineLevel="0" collapsed="false">
      <c r="B83" s="10"/>
      <c r="C83" s="8"/>
      <c r="D83" s="12"/>
      <c r="E83" s="12"/>
      <c r="F83" s="8"/>
      <c r="G83" s="4"/>
    </row>
    <row r="84" customFormat="false" ht="13" hidden="false" customHeight="false" outlineLevel="0" collapsed="false">
      <c r="B84" s="10"/>
      <c r="C84" s="8"/>
      <c r="D84" s="12"/>
      <c r="E84" s="12"/>
      <c r="F84" s="8"/>
      <c r="G84" s="4"/>
      <c r="J84" s="0" t="s">
        <v>6</v>
      </c>
    </row>
    <row r="85" customFormat="false" ht="13" hidden="false" customHeight="false" outlineLevel="0" collapsed="false">
      <c r="B85" s="10"/>
      <c r="C85" s="8"/>
      <c r="D85" s="15"/>
      <c r="E85" s="15"/>
      <c r="F85" s="16"/>
      <c r="G85" s="4"/>
    </row>
    <row r="86" customFormat="false" ht="13" hidden="false" customHeight="false" outlineLevel="0" collapsed="false">
      <c r="B86" s="10"/>
      <c r="C86" s="8"/>
      <c r="D86" s="12"/>
      <c r="E86" s="12"/>
      <c r="F86" s="8"/>
      <c r="G86" s="4"/>
    </row>
    <row r="87" customFormat="false" ht="13" hidden="false" customHeight="false" outlineLevel="0" collapsed="false">
      <c r="B87" s="10"/>
      <c r="C87" s="8"/>
      <c r="D87" s="12"/>
      <c r="E87" s="12"/>
      <c r="F87" s="8"/>
      <c r="G87" s="4"/>
    </row>
    <row r="88" customFormat="false" ht="13" hidden="false" customHeight="false" outlineLevel="0" collapsed="false">
      <c r="B88" s="10"/>
      <c r="C88" s="8"/>
      <c r="D88" s="12"/>
      <c r="E88" s="12"/>
      <c r="F88" s="8"/>
      <c r="G88" s="4"/>
    </row>
    <row r="89" customFormat="false" ht="13" hidden="false" customHeight="false" outlineLevel="0" collapsed="false">
      <c r="B89" s="10"/>
      <c r="C89" s="8"/>
      <c r="D89" s="12"/>
      <c r="E89" s="12"/>
      <c r="F89" s="8"/>
      <c r="G89" s="4"/>
    </row>
    <row r="90" customFormat="false" ht="13" hidden="false" customHeight="false" outlineLevel="0" collapsed="false">
      <c r="B90" s="10"/>
      <c r="C90" s="8"/>
      <c r="D90" s="12"/>
      <c r="E90" s="12"/>
      <c r="F90" s="8"/>
      <c r="G90" s="4"/>
    </row>
    <row r="91" customFormat="false" ht="13" hidden="false" customHeight="false" outlineLevel="0" collapsed="false">
      <c r="B91" s="10"/>
      <c r="C91" s="8"/>
      <c r="D91" s="12"/>
      <c r="E91" s="12"/>
      <c r="F91" s="8"/>
      <c r="G91" s="4"/>
    </row>
    <row r="92" customFormat="false" ht="13" hidden="false" customHeight="false" outlineLevel="0" collapsed="false">
      <c r="B92" s="10"/>
      <c r="C92" s="8"/>
      <c r="D92" s="12"/>
      <c r="E92" s="12"/>
      <c r="F92" s="8"/>
      <c r="G92" s="4"/>
    </row>
    <row r="93" customFormat="false" ht="13" hidden="false" customHeight="false" outlineLevel="0" collapsed="false">
      <c r="B93" s="10"/>
      <c r="C93" s="8"/>
      <c r="D93" s="12"/>
      <c r="E93" s="12"/>
      <c r="F93" s="8"/>
      <c r="G93" s="4"/>
    </row>
    <row r="94" customFormat="false" ht="13" hidden="false" customHeight="false" outlineLevel="0" collapsed="false">
      <c r="B94" s="10"/>
      <c r="C94" s="8"/>
      <c r="D94" s="12"/>
      <c r="E94" s="12"/>
      <c r="F94" s="8"/>
      <c r="G94" s="4"/>
    </row>
    <row r="95" customFormat="false" ht="13" hidden="false" customHeight="false" outlineLevel="0" collapsed="false">
      <c r="B95" s="10"/>
      <c r="C95" s="8"/>
      <c r="D95" s="12"/>
      <c r="E95" s="12"/>
      <c r="F95" s="8"/>
      <c r="G95" s="4"/>
    </row>
    <row r="96" customFormat="false" ht="13" hidden="false" customHeight="false" outlineLevel="0" collapsed="false">
      <c r="B96" s="10"/>
      <c r="C96" s="8"/>
      <c r="D96" s="12"/>
      <c r="E96" s="12"/>
      <c r="F96" s="8"/>
      <c r="G96" s="4"/>
    </row>
    <row r="97" customFormat="false" ht="13" hidden="false" customHeight="false" outlineLevel="0" collapsed="false">
      <c r="B97" s="10"/>
      <c r="C97" s="8"/>
      <c r="D97" s="12"/>
      <c r="E97" s="12"/>
      <c r="F97" s="8"/>
      <c r="G97" s="4"/>
    </row>
    <row r="98" customFormat="false" ht="13" hidden="false" customHeight="false" outlineLevel="0" collapsed="false">
      <c r="B98" s="10"/>
      <c r="C98" s="8"/>
      <c r="D98" s="12"/>
      <c r="E98" s="12"/>
      <c r="F98" s="8"/>
      <c r="G98" s="4"/>
    </row>
    <row r="99" customFormat="false" ht="13" hidden="false" customHeight="false" outlineLevel="0" collapsed="false">
      <c r="B99" s="10"/>
      <c r="C99" s="8"/>
      <c r="D99" s="12"/>
      <c r="E99" s="12"/>
      <c r="F99" s="8"/>
      <c r="G99" s="4"/>
    </row>
    <row r="100" customFormat="false" ht="13" hidden="false" customHeight="false" outlineLevel="0" collapsed="false">
      <c r="B100" s="10"/>
      <c r="C100" s="8"/>
      <c r="D100" s="12"/>
      <c r="E100" s="12"/>
      <c r="F100" s="8"/>
      <c r="G100" s="4"/>
    </row>
    <row r="101" customFormat="false" ht="13" hidden="false" customHeight="false" outlineLevel="0" collapsed="false">
      <c r="B101" s="10"/>
      <c r="C101" s="8"/>
      <c r="D101" s="15"/>
      <c r="E101" s="15"/>
      <c r="F101" s="16"/>
      <c r="G101" s="4"/>
    </row>
    <row r="102" customFormat="false" ht="13" hidden="false" customHeight="false" outlineLevel="0" collapsed="false">
      <c r="B102" s="10"/>
      <c r="C102" s="8"/>
      <c r="D102" s="15"/>
      <c r="E102" s="15"/>
      <c r="F102" s="16"/>
      <c r="G102" s="4"/>
    </row>
    <row r="103" customFormat="false" ht="13" hidden="false" customHeight="false" outlineLevel="0" collapsed="false">
      <c r="B103" s="10"/>
      <c r="C103" s="8"/>
      <c r="D103" s="12"/>
      <c r="E103" s="12"/>
      <c r="F103" s="8"/>
      <c r="G103" s="4"/>
    </row>
    <row r="104" customFormat="false" ht="14" hidden="false" customHeight="false" outlineLevel="0" collapsed="false">
      <c r="B104" s="21"/>
      <c r="C104" s="22"/>
      <c r="D104" s="12"/>
      <c r="E104" s="12"/>
      <c r="F104" s="8"/>
      <c r="G104" s="4"/>
    </row>
    <row r="105" customFormat="false" ht="13" hidden="false" customHeight="false" outlineLevel="0" collapsed="false">
      <c r="B105" s="10"/>
      <c r="C105" s="8"/>
      <c r="D105" s="12"/>
      <c r="E105" s="12"/>
      <c r="F105" s="8"/>
      <c r="G105" s="4"/>
    </row>
    <row r="106" customFormat="false" ht="14" hidden="false" customHeight="false" outlineLevel="0" collapsed="false">
      <c r="B106" s="21"/>
      <c r="C106" s="22"/>
      <c r="D106" s="12"/>
      <c r="E106" s="12"/>
      <c r="F106" s="8"/>
      <c r="G106" s="4"/>
    </row>
    <row r="107" customFormat="false" ht="13" hidden="false" customHeight="false" outlineLevel="0" collapsed="false">
      <c r="B107" s="10"/>
      <c r="C107" s="8"/>
      <c r="D107" s="12"/>
      <c r="E107" s="12"/>
      <c r="F107" s="8"/>
      <c r="G107" s="4"/>
    </row>
    <row r="108" customFormat="false" ht="13" hidden="false" customHeight="false" outlineLevel="0" collapsed="false">
      <c r="B108" s="10"/>
      <c r="C108" s="8"/>
      <c r="D108" s="12"/>
      <c r="E108" s="12"/>
      <c r="F108" s="8"/>
      <c r="G108" s="4"/>
    </row>
    <row r="109" customFormat="false" ht="13" hidden="false" customHeight="false" outlineLevel="0" collapsed="false">
      <c r="B109" s="10"/>
      <c r="C109" s="8"/>
      <c r="D109" s="12"/>
      <c r="E109" s="12"/>
      <c r="F109" s="8"/>
      <c r="G109" s="4"/>
    </row>
    <row r="110" customFormat="false" ht="13" hidden="false" customHeight="false" outlineLevel="0" collapsed="false">
      <c r="B110" s="10"/>
      <c r="C110" s="8"/>
      <c r="D110" s="12"/>
      <c r="E110" s="12"/>
      <c r="F110" s="8"/>
      <c r="G110" s="4"/>
    </row>
    <row r="111" customFormat="false" ht="13" hidden="false" customHeight="false" outlineLevel="0" collapsed="false">
      <c r="B111" s="10"/>
      <c r="C111" s="8"/>
      <c r="D111" s="12"/>
      <c r="E111" s="12"/>
      <c r="F111" s="8"/>
      <c r="G111" s="4"/>
    </row>
    <row r="112" customFormat="false" ht="13" hidden="false" customHeight="false" outlineLevel="0" collapsed="false">
      <c r="B112" s="10"/>
      <c r="C112" s="8"/>
      <c r="D112" s="15"/>
      <c r="E112" s="15"/>
      <c r="F112" s="16"/>
      <c r="G112" s="4"/>
    </row>
    <row r="113" customFormat="false" ht="13" hidden="false" customHeight="false" outlineLevel="0" collapsed="false">
      <c r="B113" s="10"/>
      <c r="C113" s="8"/>
      <c r="D113" s="12"/>
      <c r="E113" s="12"/>
      <c r="F113" s="8"/>
      <c r="G113" s="4"/>
    </row>
    <row r="114" customFormat="false" ht="13" hidden="false" customHeight="false" outlineLevel="0" collapsed="false">
      <c r="B114" s="10"/>
      <c r="C114" s="8"/>
      <c r="D114" s="12"/>
      <c r="E114" s="12"/>
      <c r="F114" s="8"/>
      <c r="G114" s="4"/>
    </row>
    <row r="115" customFormat="false" ht="13" hidden="false" customHeight="false" outlineLevel="0" collapsed="false">
      <c r="B115" s="10"/>
      <c r="C115" s="8"/>
      <c r="D115" s="12"/>
      <c r="E115" s="12"/>
      <c r="F115" s="8"/>
      <c r="G115" s="4"/>
    </row>
    <row r="116" customFormat="false" ht="13" hidden="false" customHeight="false" outlineLevel="0" collapsed="false">
      <c r="B116" s="10"/>
      <c r="C116" s="8"/>
      <c r="D116" s="12"/>
      <c r="E116" s="12"/>
      <c r="F116" s="8"/>
      <c r="G116" s="4"/>
    </row>
    <row r="117" customFormat="false" ht="13" hidden="false" customHeight="false" outlineLevel="0" collapsed="false">
      <c r="B117" s="10"/>
      <c r="C117" s="8"/>
      <c r="D117" s="12"/>
      <c r="E117" s="12"/>
      <c r="F117" s="8"/>
      <c r="G117" s="4"/>
    </row>
    <row r="118" customFormat="false" ht="13" hidden="false" customHeight="false" outlineLevel="0" collapsed="false">
      <c r="B118" s="10"/>
      <c r="C118" s="8"/>
      <c r="D118" s="12"/>
      <c r="E118" s="12"/>
      <c r="F118" s="8"/>
      <c r="G118" s="4"/>
    </row>
    <row r="119" customFormat="false" ht="13" hidden="false" customHeight="false" outlineLevel="0" collapsed="false">
      <c r="B119" s="10"/>
      <c r="C119" s="8"/>
      <c r="D119" s="12"/>
      <c r="E119" s="12"/>
      <c r="F119" s="8"/>
      <c r="G119" s="4"/>
    </row>
    <row r="120" customFormat="false" ht="13" hidden="false" customHeight="false" outlineLevel="0" collapsed="false">
      <c r="B120" s="10"/>
      <c r="C120" s="8"/>
      <c r="D120" s="12"/>
      <c r="E120" s="12"/>
      <c r="F120" s="8"/>
      <c r="G120" s="4"/>
    </row>
    <row r="121" customFormat="false" ht="13" hidden="false" customHeight="false" outlineLevel="0" collapsed="false">
      <c r="B121" s="10"/>
      <c r="C121" s="8"/>
      <c r="D121" s="12"/>
      <c r="E121" s="12"/>
      <c r="F121" s="8"/>
      <c r="G121" s="4"/>
    </row>
    <row r="122" customFormat="false" ht="13" hidden="false" customHeight="false" outlineLevel="0" collapsed="false">
      <c r="B122" s="10"/>
      <c r="C122" s="8"/>
      <c r="D122" s="12"/>
      <c r="E122" s="12"/>
      <c r="F122" s="8"/>
      <c r="G122" s="4"/>
    </row>
    <row r="123" customFormat="false" ht="13" hidden="false" customHeight="false" outlineLevel="0" collapsed="false">
      <c r="B123" s="10"/>
      <c r="C123" s="8"/>
      <c r="D123" s="12"/>
      <c r="E123" s="12"/>
      <c r="F123" s="8"/>
      <c r="G123" s="4"/>
    </row>
    <row r="124" customFormat="false" ht="13" hidden="false" customHeight="false" outlineLevel="0" collapsed="false">
      <c r="B124" s="10"/>
      <c r="C124" s="8"/>
      <c r="D124" s="12"/>
      <c r="E124" s="12"/>
      <c r="F124" s="8"/>
      <c r="G124" s="4"/>
    </row>
    <row r="125" customFormat="false" ht="13" hidden="false" customHeight="false" outlineLevel="0" collapsed="false">
      <c r="B125" s="10"/>
      <c r="C125" s="8"/>
      <c r="D125" s="12"/>
      <c r="E125" s="12"/>
      <c r="F125" s="8"/>
      <c r="G125" s="4"/>
    </row>
    <row r="126" customFormat="false" ht="13" hidden="false" customHeight="false" outlineLevel="0" collapsed="false">
      <c r="B126" s="10"/>
      <c r="C126" s="8"/>
      <c r="D126" s="12"/>
      <c r="E126" s="12"/>
      <c r="F126" s="8"/>
      <c r="G126" s="4"/>
    </row>
    <row r="127" customFormat="false" ht="13" hidden="false" customHeight="false" outlineLevel="0" collapsed="false">
      <c r="B127" s="10"/>
      <c r="C127" s="8"/>
      <c r="D127" s="12"/>
      <c r="E127" s="12"/>
      <c r="F127" s="8"/>
      <c r="G127" s="4"/>
    </row>
    <row r="128" customFormat="false" ht="13" hidden="false" customHeight="false" outlineLevel="0" collapsed="false">
      <c r="B128" s="10"/>
      <c r="C128" s="8"/>
      <c r="D128" s="12"/>
      <c r="E128" s="12"/>
      <c r="F128" s="8"/>
      <c r="G128" s="4"/>
    </row>
    <row r="129" customFormat="false" ht="13" hidden="false" customHeight="false" outlineLevel="0" collapsed="false">
      <c r="B129" s="10"/>
      <c r="C129" s="8"/>
      <c r="D129" s="12"/>
      <c r="E129" s="12"/>
      <c r="F129" s="8"/>
      <c r="G129" s="4"/>
    </row>
    <row r="130" customFormat="false" ht="13" hidden="false" customHeight="false" outlineLevel="0" collapsed="false">
      <c r="B130" s="10"/>
      <c r="C130" s="8"/>
      <c r="D130" s="12"/>
      <c r="E130" s="12"/>
      <c r="F130" s="8"/>
      <c r="G130" s="4"/>
    </row>
    <row r="131" customFormat="false" ht="13" hidden="false" customHeight="false" outlineLevel="0" collapsed="false">
      <c r="B131" s="10"/>
      <c r="C131" s="8"/>
      <c r="D131" s="12"/>
      <c r="E131" s="12"/>
      <c r="F131" s="8"/>
      <c r="G131" s="4"/>
    </row>
    <row r="132" customFormat="false" ht="13" hidden="false" customHeight="false" outlineLevel="0" collapsed="false">
      <c r="B132" s="10"/>
      <c r="C132" s="8"/>
      <c r="D132" s="12"/>
      <c r="E132" s="12"/>
      <c r="F132" s="16"/>
      <c r="G132" s="4"/>
    </row>
    <row r="133" customFormat="false" ht="13" hidden="false" customHeight="false" outlineLevel="0" collapsed="false">
      <c r="B133" s="10"/>
      <c r="C133" s="8"/>
      <c r="D133" s="12"/>
      <c r="E133" s="12"/>
      <c r="F133" s="8"/>
      <c r="G133" s="4"/>
    </row>
    <row r="134" customFormat="false" ht="13" hidden="false" customHeight="false" outlineLevel="0" collapsed="false">
      <c r="B134" s="10"/>
      <c r="C134" s="8"/>
      <c r="D134" s="12"/>
      <c r="E134" s="12"/>
      <c r="F134" s="8"/>
      <c r="G134" s="4"/>
    </row>
    <row r="135" customFormat="false" ht="13" hidden="false" customHeight="false" outlineLevel="0" collapsed="false">
      <c r="B135" s="10"/>
      <c r="C135" s="8"/>
      <c r="D135" s="12"/>
      <c r="E135" s="12"/>
      <c r="F135" s="8"/>
      <c r="G135" s="4"/>
    </row>
    <row r="136" customFormat="false" ht="13" hidden="false" customHeight="false" outlineLevel="0" collapsed="false">
      <c r="B136" s="10"/>
      <c r="C136" s="8"/>
      <c r="D136" s="12"/>
      <c r="E136" s="12"/>
      <c r="F136" s="8"/>
      <c r="G136" s="4"/>
    </row>
    <row r="137" customFormat="false" ht="13" hidden="false" customHeight="false" outlineLevel="0" collapsed="false">
      <c r="B137" s="10"/>
      <c r="C137" s="8"/>
      <c r="D137" s="12"/>
      <c r="E137" s="12"/>
      <c r="F137" s="8"/>
      <c r="G137" s="4"/>
    </row>
    <row r="138" customFormat="false" ht="13" hidden="false" customHeight="false" outlineLevel="0" collapsed="false">
      <c r="B138" s="10"/>
      <c r="C138" s="8"/>
      <c r="D138" s="12"/>
      <c r="E138" s="12"/>
      <c r="F138" s="8"/>
      <c r="G138" s="4"/>
    </row>
    <row r="139" customFormat="false" ht="13" hidden="false" customHeight="false" outlineLevel="0" collapsed="false">
      <c r="B139" s="10"/>
      <c r="C139" s="8"/>
      <c r="D139" s="12"/>
      <c r="E139" s="12"/>
      <c r="F139" s="8"/>
      <c r="G139" s="4"/>
    </row>
    <row r="140" customFormat="false" ht="13" hidden="false" customHeight="false" outlineLevel="0" collapsed="false">
      <c r="B140" s="10"/>
      <c r="C140" s="8"/>
      <c r="D140" s="12"/>
      <c r="E140" s="12"/>
      <c r="F140" s="8"/>
      <c r="G140" s="4"/>
    </row>
    <row r="141" customFormat="false" ht="13" hidden="false" customHeight="false" outlineLevel="0" collapsed="false">
      <c r="B141" s="10"/>
      <c r="C141" s="8"/>
      <c r="D141" s="12"/>
      <c r="E141" s="12"/>
      <c r="F141" s="8"/>
      <c r="G141" s="4"/>
    </row>
    <row r="142" customFormat="false" ht="13" hidden="false" customHeight="false" outlineLevel="0" collapsed="false">
      <c r="B142" s="10"/>
      <c r="C142" s="8"/>
      <c r="D142" s="12"/>
      <c r="E142" s="12"/>
      <c r="F142" s="8"/>
      <c r="G142" s="4"/>
    </row>
    <row r="143" customFormat="false" ht="13" hidden="false" customHeight="false" outlineLevel="0" collapsed="false">
      <c r="B143" s="10"/>
      <c r="C143" s="8"/>
      <c r="D143" s="12"/>
      <c r="E143" s="12"/>
      <c r="F143" s="8"/>
      <c r="G143" s="4"/>
    </row>
    <row r="144" customFormat="false" ht="13" hidden="false" customHeight="false" outlineLevel="0" collapsed="false">
      <c r="B144" s="10"/>
      <c r="C144" s="8"/>
      <c r="D144" s="12"/>
      <c r="E144" s="12"/>
      <c r="F144" s="8"/>
      <c r="G144" s="4"/>
    </row>
    <row r="145" customFormat="false" ht="13" hidden="false" customHeight="false" outlineLevel="0" collapsed="false">
      <c r="B145" s="10"/>
      <c r="C145" s="8"/>
      <c r="D145" s="12"/>
      <c r="E145" s="12"/>
      <c r="F145" s="8"/>
      <c r="G145" s="4"/>
    </row>
    <row r="146" customFormat="false" ht="13" hidden="false" customHeight="false" outlineLevel="0" collapsed="false">
      <c r="B146" s="10"/>
      <c r="C146" s="8"/>
      <c r="D146" s="12"/>
      <c r="E146" s="12"/>
      <c r="F146" s="8"/>
      <c r="G146" s="4"/>
    </row>
    <row r="147" customFormat="false" ht="13" hidden="false" customHeight="false" outlineLevel="0" collapsed="false">
      <c r="B147" s="10"/>
      <c r="C147" s="8"/>
      <c r="D147" s="12"/>
      <c r="E147" s="12"/>
      <c r="F147" s="8"/>
      <c r="G147" s="4"/>
    </row>
    <row r="148" customFormat="false" ht="13" hidden="false" customHeight="false" outlineLevel="0" collapsed="false">
      <c r="B148" s="10"/>
      <c r="C148" s="8"/>
      <c r="D148" s="12"/>
      <c r="E148" s="12"/>
      <c r="F148" s="8"/>
      <c r="G148" s="4"/>
    </row>
    <row r="149" customFormat="false" ht="13" hidden="false" customHeight="false" outlineLevel="0" collapsed="false">
      <c r="B149" s="10"/>
      <c r="C149" s="8"/>
      <c r="D149" s="12"/>
      <c r="E149" s="12"/>
      <c r="F149" s="8"/>
      <c r="G149" s="4"/>
    </row>
    <row r="150" customFormat="false" ht="13" hidden="false" customHeight="false" outlineLevel="0" collapsed="false">
      <c r="B150" s="10"/>
      <c r="C150" s="8"/>
      <c r="D150" s="15"/>
      <c r="E150" s="15"/>
      <c r="F150" s="8"/>
      <c r="G150" s="4"/>
    </row>
    <row r="151" customFormat="false" ht="13" hidden="false" customHeight="false" outlineLevel="0" collapsed="false">
      <c r="B151" s="10"/>
      <c r="C151" s="8"/>
      <c r="D151" s="12"/>
      <c r="E151" s="12"/>
      <c r="F151" s="16"/>
      <c r="G151" s="4"/>
    </row>
    <row r="152" customFormat="false" ht="13" hidden="false" customHeight="false" outlineLevel="0" collapsed="false">
      <c r="B152" s="10"/>
      <c r="C152" s="8"/>
      <c r="D152" s="12"/>
      <c r="E152" s="12"/>
      <c r="F152" s="8"/>
      <c r="G152" s="4"/>
    </row>
    <row r="153" customFormat="false" ht="13" hidden="false" customHeight="false" outlineLevel="0" collapsed="false">
      <c r="B153" s="10"/>
      <c r="C153" s="8"/>
      <c r="D153" s="12"/>
      <c r="E153" s="12"/>
      <c r="F153" s="8"/>
      <c r="G153" s="4"/>
    </row>
    <row r="154" customFormat="false" ht="13" hidden="false" customHeight="false" outlineLevel="0" collapsed="false">
      <c r="B154" s="10"/>
      <c r="C154" s="8"/>
      <c r="D154" s="12"/>
      <c r="E154" s="12"/>
      <c r="F154" s="8"/>
      <c r="G154" s="4"/>
    </row>
    <row r="155" customFormat="false" ht="13" hidden="false" customHeight="false" outlineLevel="0" collapsed="false">
      <c r="B155" s="10"/>
      <c r="C155" s="8"/>
      <c r="D155" s="12"/>
      <c r="E155" s="12"/>
      <c r="F155" s="8"/>
      <c r="G155" s="4"/>
    </row>
    <row r="156" customFormat="false" ht="13" hidden="false" customHeight="false" outlineLevel="0" collapsed="false">
      <c r="B156" s="10"/>
      <c r="C156" s="8"/>
      <c r="D156" s="12"/>
      <c r="E156" s="12"/>
      <c r="F156" s="8"/>
      <c r="G156" s="4"/>
    </row>
    <row r="157" customFormat="false" ht="13" hidden="false" customHeight="false" outlineLevel="0" collapsed="false">
      <c r="B157" s="10"/>
      <c r="C157" s="8"/>
      <c r="D157" s="15"/>
      <c r="E157" s="15"/>
      <c r="F157" s="8"/>
      <c r="G157" s="4"/>
    </row>
    <row r="158" customFormat="false" ht="13" hidden="false" customHeight="false" outlineLevel="0" collapsed="false">
      <c r="B158" s="10"/>
      <c r="C158" s="8"/>
      <c r="D158" s="12"/>
      <c r="E158" s="12"/>
      <c r="F158" s="8"/>
      <c r="G158" s="4"/>
    </row>
    <row r="159" customFormat="false" ht="13" hidden="false" customHeight="false" outlineLevel="0" collapsed="false">
      <c r="B159" s="10"/>
      <c r="C159" s="8"/>
      <c r="D159" s="12"/>
      <c r="E159" s="12"/>
      <c r="F159" s="8"/>
      <c r="G159" s="4"/>
    </row>
    <row r="160" customFormat="false" ht="13" hidden="false" customHeight="false" outlineLevel="0" collapsed="false">
      <c r="B160" s="10"/>
      <c r="C160" s="8"/>
      <c r="D160" s="12"/>
      <c r="E160" s="12"/>
      <c r="F160" s="8"/>
      <c r="G160" s="4"/>
    </row>
    <row r="161" customFormat="false" ht="13" hidden="false" customHeight="false" outlineLevel="0" collapsed="false">
      <c r="B161" s="10"/>
      <c r="C161" s="8"/>
      <c r="D161" s="12"/>
      <c r="E161" s="12"/>
      <c r="F161" s="8"/>
      <c r="G161" s="4"/>
    </row>
    <row r="162" customFormat="false" ht="13" hidden="false" customHeight="false" outlineLevel="0" collapsed="false">
      <c r="B162" s="10"/>
      <c r="C162" s="8"/>
      <c r="D162" s="12"/>
      <c r="E162" s="12"/>
      <c r="F162" s="8"/>
      <c r="G162" s="4"/>
    </row>
    <row r="163" customFormat="false" ht="13" hidden="false" customHeight="false" outlineLevel="0" collapsed="false">
      <c r="B163" s="10"/>
      <c r="C163" s="8"/>
      <c r="D163" s="12"/>
      <c r="E163" s="12"/>
      <c r="F163" s="8"/>
      <c r="G163" s="4"/>
    </row>
    <row r="164" customFormat="false" ht="13" hidden="false" customHeight="false" outlineLevel="0" collapsed="false">
      <c r="B164" s="10"/>
      <c r="C164" s="8"/>
      <c r="D164" s="12"/>
      <c r="E164" s="12"/>
      <c r="F164" s="8"/>
      <c r="G164" s="4"/>
    </row>
    <row r="165" customFormat="false" ht="13" hidden="false" customHeight="false" outlineLevel="0" collapsed="false">
      <c r="B165" s="10"/>
      <c r="C165" s="8"/>
      <c r="D165" s="12"/>
      <c r="E165" s="12"/>
      <c r="F165" s="8"/>
      <c r="G165" s="4"/>
    </row>
    <row r="166" customFormat="false" ht="13" hidden="false" customHeight="false" outlineLevel="0" collapsed="false">
      <c r="B166" s="10"/>
      <c r="C166" s="8"/>
      <c r="D166" s="12"/>
      <c r="E166" s="12"/>
      <c r="F166" s="8"/>
      <c r="G166" s="4"/>
    </row>
    <row r="167" customFormat="false" ht="13" hidden="false" customHeight="false" outlineLevel="0" collapsed="false">
      <c r="B167" s="10"/>
      <c r="C167" s="8"/>
      <c r="D167" s="15"/>
      <c r="E167" s="15"/>
      <c r="F167" s="16"/>
      <c r="G167" s="4"/>
    </row>
    <row r="168" customFormat="false" ht="13" hidden="false" customHeight="false" outlineLevel="0" collapsed="false">
      <c r="B168" s="10"/>
      <c r="C168" s="8"/>
      <c r="D168" s="12"/>
      <c r="E168" s="12"/>
      <c r="F168" s="8"/>
      <c r="G168" s="4"/>
    </row>
    <row r="169" customFormat="false" ht="13" hidden="false" customHeight="false" outlineLevel="0" collapsed="false">
      <c r="B169" s="10"/>
      <c r="C169" s="8"/>
      <c r="D169" s="12"/>
      <c r="E169" s="12"/>
      <c r="F169" s="8"/>
      <c r="G169" s="4"/>
    </row>
    <row r="170" customFormat="false" ht="13" hidden="false" customHeight="false" outlineLevel="0" collapsed="false">
      <c r="B170" s="10"/>
      <c r="C170" s="8"/>
      <c r="D170" s="12"/>
      <c r="E170" s="12"/>
      <c r="F170" s="8"/>
      <c r="G170" s="4"/>
    </row>
    <row r="171" customFormat="false" ht="13" hidden="false" customHeight="false" outlineLevel="0" collapsed="false">
      <c r="B171" s="10"/>
      <c r="C171" s="8"/>
      <c r="D171" s="12"/>
      <c r="E171" s="12"/>
      <c r="F171" s="8"/>
      <c r="G171" s="4"/>
    </row>
    <row r="172" customFormat="false" ht="13" hidden="false" customHeight="false" outlineLevel="0" collapsed="false">
      <c r="B172" s="10"/>
      <c r="C172" s="8"/>
      <c r="D172" s="15"/>
      <c r="E172" s="15"/>
      <c r="F172" s="16"/>
      <c r="G172" s="4"/>
    </row>
    <row r="173" customFormat="false" ht="13" hidden="false" customHeight="false" outlineLevel="0" collapsed="false">
      <c r="B173" s="10"/>
      <c r="C173" s="8"/>
      <c r="D173" s="15"/>
      <c r="E173" s="15"/>
      <c r="F173" s="16"/>
      <c r="G173" s="4"/>
      <c r="H173" s="23"/>
      <c r="I173" s="23"/>
    </row>
    <row r="174" customFormat="false" ht="13" hidden="false" customHeight="false" outlineLevel="0" collapsed="false">
      <c r="B174" s="10"/>
      <c r="C174" s="8"/>
      <c r="D174" s="15"/>
      <c r="E174" s="15"/>
      <c r="F174" s="16"/>
      <c r="G174" s="4"/>
    </row>
    <row r="175" customFormat="false" ht="13" hidden="false" customHeight="false" outlineLevel="0" collapsed="false">
      <c r="B175" s="10"/>
      <c r="C175" s="8"/>
      <c r="D175" s="15"/>
      <c r="E175" s="15"/>
      <c r="F175" s="16"/>
      <c r="G175" s="4"/>
    </row>
    <row r="176" customFormat="false" ht="13" hidden="false" customHeight="false" outlineLevel="0" collapsed="false">
      <c r="B176" s="10"/>
      <c r="C176" s="8"/>
      <c r="D176" s="15"/>
      <c r="E176" s="15"/>
      <c r="F176" s="16"/>
      <c r="G176" s="4"/>
    </row>
    <row r="177" customFormat="false" ht="13" hidden="false" customHeight="false" outlineLevel="0" collapsed="false">
      <c r="B177" s="10"/>
      <c r="C177" s="8"/>
      <c r="D177" s="12"/>
      <c r="E177" s="12"/>
      <c r="F177" s="8"/>
      <c r="G177" s="4"/>
    </row>
    <row r="178" customFormat="false" ht="13" hidden="false" customHeight="false" outlineLevel="0" collapsed="false">
      <c r="B178" s="10"/>
      <c r="C178" s="8"/>
      <c r="D178" s="12"/>
      <c r="E178" s="12"/>
      <c r="F178" s="8"/>
      <c r="G178" s="4"/>
    </row>
    <row r="179" customFormat="false" ht="13" hidden="false" customHeight="false" outlineLevel="0" collapsed="false">
      <c r="B179" s="10"/>
      <c r="C179" s="8"/>
      <c r="D179" s="12"/>
      <c r="E179" s="12"/>
      <c r="F179" s="8"/>
      <c r="G179" s="4"/>
    </row>
    <row r="180" customFormat="false" ht="13" hidden="false" customHeight="false" outlineLevel="0" collapsed="false">
      <c r="B180" s="10"/>
      <c r="C180" s="8"/>
      <c r="D180" s="12"/>
      <c r="E180" s="12"/>
      <c r="F180" s="8"/>
      <c r="G180" s="4"/>
    </row>
    <row r="181" customFormat="false" ht="13" hidden="false" customHeight="false" outlineLevel="0" collapsed="false">
      <c r="B181" s="10"/>
      <c r="C181" s="8"/>
      <c r="D181" s="15"/>
      <c r="E181" s="15"/>
      <c r="F181" s="16"/>
      <c r="G181" s="4"/>
    </row>
    <row r="182" customFormat="false" ht="13" hidden="false" customHeight="false" outlineLevel="0" collapsed="false">
      <c r="B182" s="10"/>
      <c r="C182" s="8"/>
      <c r="D182" s="12"/>
      <c r="E182" s="12"/>
      <c r="F182" s="8"/>
      <c r="G182" s="4"/>
    </row>
    <row r="183" customFormat="false" ht="13" hidden="false" customHeight="false" outlineLevel="0" collapsed="false">
      <c r="B183" s="10"/>
      <c r="C183" s="8"/>
      <c r="D183" s="12"/>
      <c r="E183" s="12"/>
      <c r="F183" s="8"/>
      <c r="G183" s="4"/>
    </row>
    <row r="184" customFormat="false" ht="13" hidden="false" customHeight="false" outlineLevel="0" collapsed="false">
      <c r="B184" s="10"/>
      <c r="C184" s="8"/>
      <c r="D184" s="12"/>
      <c r="E184" s="12"/>
      <c r="F184" s="8"/>
      <c r="G184" s="4"/>
    </row>
    <row r="185" customFormat="false" ht="13" hidden="false" customHeight="false" outlineLevel="0" collapsed="false">
      <c r="B185" s="10"/>
      <c r="C185" s="8"/>
      <c r="D185" s="12"/>
      <c r="E185" s="12"/>
      <c r="F185" s="8"/>
      <c r="G185" s="4"/>
    </row>
    <row r="186" customFormat="false" ht="13" hidden="false" customHeight="false" outlineLevel="0" collapsed="false">
      <c r="B186" s="10"/>
      <c r="C186" s="8"/>
      <c r="D186" s="12"/>
      <c r="E186" s="12"/>
      <c r="F186" s="8"/>
      <c r="G186" s="4"/>
    </row>
    <row r="187" customFormat="false" ht="13" hidden="false" customHeight="false" outlineLevel="0" collapsed="false">
      <c r="B187" s="10"/>
      <c r="C187" s="8"/>
      <c r="D187" s="12"/>
      <c r="E187" s="12"/>
      <c r="F187" s="8"/>
      <c r="G187" s="4"/>
    </row>
    <row r="188" customFormat="false" ht="13" hidden="false" customHeight="false" outlineLevel="0" collapsed="false">
      <c r="B188" s="10"/>
      <c r="C188" s="8"/>
      <c r="D188" s="12"/>
      <c r="E188" s="12"/>
      <c r="F188" s="8"/>
      <c r="G188" s="4"/>
    </row>
    <row r="189" customFormat="false" ht="13" hidden="false" customHeight="false" outlineLevel="0" collapsed="false">
      <c r="B189" s="10"/>
      <c r="C189" s="8"/>
      <c r="D189" s="12"/>
      <c r="E189" s="12"/>
      <c r="F189" s="8"/>
      <c r="G189" s="4"/>
    </row>
    <row r="190" customFormat="false" ht="13" hidden="false" customHeight="false" outlineLevel="0" collapsed="false">
      <c r="B190" s="10"/>
      <c r="C190" s="8"/>
      <c r="D190" s="12"/>
      <c r="E190" s="12"/>
      <c r="F190" s="8"/>
      <c r="G190" s="4"/>
    </row>
    <row r="191" customFormat="false" ht="13" hidden="false" customHeight="false" outlineLevel="0" collapsed="false">
      <c r="B191" s="10"/>
      <c r="C191" s="8"/>
      <c r="D191" s="12"/>
      <c r="E191" s="12"/>
      <c r="F191" s="8"/>
      <c r="G191" s="4"/>
    </row>
    <row r="192" customFormat="false" ht="13" hidden="false" customHeight="false" outlineLevel="0" collapsed="false">
      <c r="B192" s="10"/>
      <c r="C192" s="8"/>
      <c r="D192" s="12"/>
      <c r="E192" s="12"/>
      <c r="F192" s="8"/>
      <c r="G192" s="4"/>
    </row>
    <row r="193" customFormat="false" ht="13" hidden="false" customHeight="false" outlineLevel="0" collapsed="false">
      <c r="B193" s="10"/>
      <c r="C193" s="8"/>
      <c r="D193" s="12"/>
      <c r="E193" s="12"/>
      <c r="F193" s="8"/>
      <c r="G193" s="4"/>
    </row>
    <row r="194" customFormat="false" ht="13" hidden="false" customHeight="false" outlineLevel="0" collapsed="false">
      <c r="B194" s="10"/>
      <c r="C194" s="8"/>
      <c r="D194" s="12"/>
      <c r="E194" s="12"/>
      <c r="F194" s="8"/>
      <c r="G194" s="4"/>
    </row>
    <row r="195" customFormat="false" ht="13" hidden="false" customHeight="false" outlineLevel="0" collapsed="false">
      <c r="B195" s="10"/>
      <c r="C195" s="8"/>
      <c r="D195" s="12"/>
      <c r="E195" s="12"/>
      <c r="F195" s="8"/>
      <c r="G195" s="4"/>
    </row>
    <row r="196" customFormat="false" ht="13" hidden="false" customHeight="false" outlineLevel="0" collapsed="false">
      <c r="B196" s="10"/>
      <c r="C196" s="8"/>
      <c r="D196" s="15"/>
      <c r="E196" s="15"/>
      <c r="F196" s="16"/>
      <c r="G196" s="4"/>
    </row>
    <row r="197" customFormat="false" ht="13" hidden="false" customHeight="false" outlineLevel="0" collapsed="false">
      <c r="B197" s="10"/>
      <c r="C197" s="8"/>
      <c r="D197" s="12"/>
      <c r="E197" s="12"/>
      <c r="F197" s="16"/>
      <c r="G197" s="4"/>
    </row>
    <row r="198" customFormat="false" ht="13" hidden="false" customHeight="false" outlineLevel="0" collapsed="false">
      <c r="B198" s="10"/>
      <c r="C198" s="8"/>
      <c r="D198" s="12"/>
      <c r="E198" s="12"/>
      <c r="F198" s="8"/>
      <c r="G198" s="4"/>
    </row>
    <row r="199" customFormat="false" ht="13" hidden="false" customHeight="false" outlineLevel="0" collapsed="false">
      <c r="B199" s="10"/>
      <c r="C199" s="8"/>
      <c r="D199" s="12"/>
      <c r="E199" s="12"/>
      <c r="F199" s="8"/>
      <c r="G199" s="4"/>
    </row>
    <row r="200" customFormat="false" ht="13" hidden="false" customHeight="false" outlineLevel="0" collapsed="false">
      <c r="B200" s="10"/>
      <c r="C200" s="8"/>
      <c r="D200" s="12"/>
      <c r="E200" s="12"/>
      <c r="F200" s="8"/>
      <c r="G200" s="4"/>
    </row>
    <row r="201" customFormat="false" ht="13" hidden="false" customHeight="false" outlineLevel="0" collapsed="false">
      <c r="B201" s="10"/>
      <c r="C201" s="8"/>
      <c r="D201" s="12"/>
      <c r="E201" s="12"/>
      <c r="F201" s="8"/>
      <c r="G201" s="4"/>
    </row>
    <row r="202" customFormat="false" ht="13" hidden="false" customHeight="false" outlineLevel="0" collapsed="false">
      <c r="B202" s="10"/>
      <c r="C202" s="8"/>
      <c r="D202" s="12"/>
      <c r="E202" s="12"/>
      <c r="F202" s="8"/>
      <c r="G202" s="4"/>
    </row>
    <row r="203" customFormat="false" ht="13" hidden="false" customHeight="false" outlineLevel="0" collapsed="false">
      <c r="B203" s="10"/>
      <c r="C203" s="8"/>
      <c r="D203" s="12"/>
      <c r="E203" s="12"/>
      <c r="F203" s="8"/>
      <c r="G203" s="4"/>
    </row>
    <row r="204" customFormat="false" ht="13" hidden="false" customHeight="false" outlineLevel="0" collapsed="false">
      <c r="B204" s="10"/>
      <c r="C204" s="8"/>
      <c r="D204" s="12"/>
      <c r="E204" s="12"/>
      <c r="F204" s="8"/>
      <c r="G204" s="4"/>
    </row>
    <row r="205" customFormat="false" ht="13" hidden="false" customHeight="false" outlineLevel="0" collapsed="false">
      <c r="B205" s="10"/>
      <c r="C205" s="8"/>
      <c r="D205" s="12"/>
      <c r="E205" s="12"/>
      <c r="F205" s="8"/>
      <c r="G205" s="4"/>
    </row>
    <row r="206" customFormat="false" ht="13" hidden="false" customHeight="false" outlineLevel="0" collapsed="false">
      <c r="B206" s="10"/>
      <c r="C206" s="8"/>
      <c r="D206" s="15"/>
      <c r="E206" s="15"/>
      <c r="F206" s="8"/>
      <c r="G206" s="4"/>
    </row>
    <row r="207" customFormat="false" ht="13" hidden="false" customHeight="false" outlineLevel="0" collapsed="false">
      <c r="B207" s="10"/>
      <c r="C207" s="8"/>
      <c r="D207" s="12"/>
      <c r="E207" s="12"/>
      <c r="F207" s="16"/>
      <c r="G207" s="4"/>
    </row>
    <row r="208" customFormat="false" ht="13" hidden="false" customHeight="false" outlineLevel="0" collapsed="false">
      <c r="B208" s="10"/>
      <c r="C208" s="8"/>
      <c r="D208" s="12"/>
      <c r="E208" s="12"/>
      <c r="F208" s="16"/>
      <c r="G208" s="4"/>
    </row>
    <row r="209" customFormat="false" ht="13" hidden="false" customHeight="false" outlineLevel="0" collapsed="false">
      <c r="B209" s="10"/>
      <c r="C209" s="8"/>
      <c r="D209" s="12"/>
      <c r="E209" s="12"/>
      <c r="F209" s="16"/>
      <c r="G209" s="4"/>
    </row>
    <row r="210" customFormat="false" ht="13" hidden="false" customHeight="false" outlineLevel="0" collapsed="false">
      <c r="B210" s="10"/>
      <c r="C210" s="8"/>
      <c r="D210" s="12"/>
      <c r="E210" s="12"/>
      <c r="F210" s="16"/>
      <c r="G210" s="4"/>
    </row>
    <row r="211" customFormat="false" ht="13" hidden="false" customHeight="false" outlineLevel="0" collapsed="false">
      <c r="B211" s="10"/>
      <c r="C211" s="8"/>
      <c r="D211" s="12"/>
      <c r="E211" s="12"/>
      <c r="F211" s="16"/>
      <c r="G211" s="4"/>
    </row>
    <row r="212" customFormat="false" ht="13" hidden="false" customHeight="false" outlineLevel="0" collapsed="false">
      <c r="B212" s="10"/>
      <c r="C212" s="8"/>
      <c r="D212" s="12"/>
      <c r="E212" s="12"/>
      <c r="F212" s="16"/>
      <c r="G212" s="4"/>
    </row>
    <row r="213" customFormat="false" ht="13" hidden="false" customHeight="false" outlineLevel="0" collapsed="false">
      <c r="B213" s="10"/>
      <c r="C213" s="8"/>
      <c r="D213" s="12"/>
      <c r="E213" s="12"/>
      <c r="F213" s="16"/>
      <c r="G213" s="4"/>
    </row>
    <row r="214" customFormat="false" ht="13" hidden="false" customHeight="false" outlineLevel="0" collapsed="false">
      <c r="B214" s="10"/>
      <c r="C214" s="8"/>
      <c r="D214" s="12"/>
      <c r="E214" s="12"/>
      <c r="F214" s="8"/>
      <c r="G214" s="4"/>
    </row>
    <row r="215" customFormat="false" ht="13" hidden="false" customHeight="false" outlineLevel="0" collapsed="false">
      <c r="B215" s="10"/>
      <c r="C215" s="8"/>
      <c r="D215" s="12"/>
      <c r="E215" s="12"/>
      <c r="F215" s="8"/>
      <c r="G215" s="4"/>
    </row>
    <row r="216" customFormat="false" ht="13" hidden="false" customHeight="false" outlineLevel="0" collapsed="false">
      <c r="B216" s="10"/>
      <c r="C216" s="8"/>
      <c r="D216" s="12"/>
      <c r="E216" s="12"/>
      <c r="F216" s="8"/>
      <c r="G216" s="4"/>
    </row>
    <row r="217" customFormat="false" ht="13" hidden="false" customHeight="false" outlineLevel="0" collapsed="false">
      <c r="B217" s="10"/>
      <c r="C217" s="8"/>
      <c r="D217" s="12"/>
      <c r="E217" s="12"/>
      <c r="F217" s="8"/>
      <c r="G217" s="4"/>
    </row>
    <row r="218" customFormat="false" ht="13" hidden="false" customHeight="false" outlineLevel="0" collapsed="false">
      <c r="B218" s="10"/>
      <c r="C218" s="8"/>
      <c r="D218" s="12"/>
      <c r="E218" s="12"/>
      <c r="F218" s="8"/>
      <c r="G218" s="4"/>
    </row>
    <row r="219" customFormat="false" ht="13" hidden="false" customHeight="false" outlineLevel="0" collapsed="false">
      <c r="B219" s="10"/>
      <c r="C219" s="8"/>
      <c r="D219" s="15"/>
      <c r="E219" s="15"/>
      <c r="F219" s="16"/>
      <c r="G219" s="4"/>
    </row>
    <row r="220" customFormat="false" ht="13" hidden="false" customHeight="false" outlineLevel="0" collapsed="false">
      <c r="B220" s="10"/>
      <c r="C220" s="8"/>
      <c r="D220" s="15"/>
      <c r="E220" s="15"/>
      <c r="F220" s="16"/>
      <c r="G220" s="4"/>
    </row>
    <row r="221" customFormat="false" ht="13" hidden="false" customHeight="false" outlineLevel="0" collapsed="false">
      <c r="B221" s="10"/>
      <c r="C221" s="8"/>
      <c r="D221" s="15"/>
      <c r="E221" s="15"/>
      <c r="F221" s="16"/>
      <c r="G221" s="4"/>
    </row>
    <row r="222" customFormat="false" ht="13" hidden="false" customHeight="false" outlineLevel="0" collapsed="false">
      <c r="B222" s="10"/>
      <c r="C222" s="8"/>
      <c r="D222" s="15"/>
      <c r="E222" s="15"/>
      <c r="F222" s="16"/>
      <c r="G222" s="4"/>
    </row>
    <row r="223" customFormat="false" ht="13" hidden="false" customHeight="false" outlineLevel="0" collapsed="false">
      <c r="B223" s="10"/>
      <c r="C223" s="8"/>
      <c r="D223" s="15"/>
      <c r="E223" s="15"/>
      <c r="F223" s="16"/>
      <c r="G223" s="4"/>
    </row>
    <row r="224" customFormat="false" ht="13" hidden="false" customHeight="false" outlineLevel="0" collapsed="false">
      <c r="B224" s="10"/>
      <c r="C224" s="8"/>
      <c r="D224" s="12"/>
      <c r="E224" s="12"/>
      <c r="F224" s="16"/>
      <c r="G224" s="4"/>
    </row>
    <row r="225" customFormat="false" ht="13" hidden="false" customHeight="false" outlineLevel="0" collapsed="false">
      <c r="B225" s="10"/>
      <c r="C225" s="8"/>
      <c r="D225" s="12"/>
      <c r="E225" s="12"/>
      <c r="F225" s="16"/>
      <c r="G225" s="4"/>
    </row>
    <row r="226" customFormat="false" ht="13" hidden="false" customHeight="false" outlineLevel="0" collapsed="false">
      <c r="B226" s="10"/>
      <c r="C226" s="8"/>
      <c r="D226" s="12"/>
      <c r="E226" s="12"/>
      <c r="F226" s="16"/>
      <c r="G226" s="4"/>
    </row>
    <row r="227" customFormat="false" ht="13" hidden="false" customHeight="false" outlineLevel="0" collapsed="false">
      <c r="B227" s="10"/>
      <c r="C227" s="8"/>
      <c r="D227" s="12"/>
      <c r="E227" s="12"/>
      <c r="F227" s="16"/>
      <c r="G227" s="4"/>
    </row>
    <row r="228" customFormat="false" ht="13" hidden="false" customHeight="false" outlineLevel="0" collapsed="false">
      <c r="B228" s="10"/>
      <c r="C228" s="8"/>
      <c r="D228" s="12"/>
      <c r="E228" s="12"/>
      <c r="F228" s="16"/>
      <c r="G228" s="4"/>
    </row>
    <row r="229" customFormat="false" ht="13" hidden="false" customHeight="false" outlineLevel="0" collapsed="false">
      <c r="B229" s="10"/>
      <c r="C229" s="8"/>
      <c r="D229" s="12"/>
      <c r="E229" s="12"/>
      <c r="F229" s="16"/>
      <c r="G229" s="4"/>
    </row>
    <row r="230" customFormat="false" ht="13" hidden="false" customHeight="false" outlineLevel="0" collapsed="false">
      <c r="B230" s="10"/>
      <c r="C230" s="8"/>
      <c r="D230" s="12"/>
      <c r="E230" s="12"/>
      <c r="F230" s="8"/>
      <c r="G230" s="4"/>
    </row>
    <row r="231" customFormat="false" ht="13" hidden="false" customHeight="false" outlineLevel="0" collapsed="false">
      <c r="B231" s="10"/>
      <c r="C231" s="8"/>
      <c r="D231" s="12"/>
      <c r="E231" s="12"/>
      <c r="F231" s="16"/>
      <c r="G231" s="4"/>
    </row>
    <row r="232" customFormat="false" ht="13" hidden="false" customHeight="false" outlineLevel="0" collapsed="false">
      <c r="B232" s="10"/>
      <c r="C232" s="8"/>
      <c r="D232" s="12"/>
      <c r="E232" s="12"/>
      <c r="F232" s="16"/>
      <c r="G232" s="4"/>
    </row>
    <row r="233" customFormat="false" ht="13" hidden="false" customHeight="false" outlineLevel="0" collapsed="false">
      <c r="B233" s="10"/>
      <c r="C233" s="8"/>
      <c r="D233" s="12"/>
      <c r="E233" s="12"/>
      <c r="F233" s="16"/>
      <c r="G233" s="4"/>
    </row>
    <row r="234" customFormat="false" ht="13" hidden="false" customHeight="false" outlineLevel="0" collapsed="false">
      <c r="B234" s="10"/>
      <c r="C234" s="8"/>
      <c r="D234" s="12"/>
      <c r="E234" s="12"/>
      <c r="F234" s="16"/>
      <c r="G234" s="4"/>
    </row>
    <row r="235" customFormat="false" ht="13" hidden="false" customHeight="false" outlineLevel="0" collapsed="false">
      <c r="B235" s="10"/>
      <c r="C235" s="8"/>
      <c r="D235" s="12"/>
      <c r="E235" s="12"/>
      <c r="F235" s="16"/>
      <c r="G235" s="4"/>
    </row>
    <row r="236" customFormat="false" ht="13" hidden="false" customHeight="false" outlineLevel="0" collapsed="false">
      <c r="B236" s="10"/>
      <c r="C236" s="8"/>
      <c r="D236" s="12"/>
      <c r="E236" s="12"/>
      <c r="F236" s="16"/>
      <c r="G236" s="4"/>
    </row>
    <row r="237" customFormat="false" ht="13" hidden="false" customHeight="false" outlineLevel="0" collapsed="false">
      <c r="B237" s="10"/>
      <c r="C237" s="8"/>
      <c r="D237" s="12"/>
      <c r="E237" s="12"/>
      <c r="F237" s="16"/>
      <c r="G237" s="4"/>
    </row>
    <row r="238" customFormat="false" ht="13" hidden="false" customHeight="false" outlineLevel="0" collapsed="false">
      <c r="B238" s="10"/>
      <c r="C238" s="8"/>
      <c r="D238" s="12"/>
      <c r="E238" s="12"/>
      <c r="F238" s="16"/>
      <c r="G238" s="4"/>
    </row>
    <row r="239" customFormat="false" ht="13" hidden="false" customHeight="false" outlineLevel="0" collapsed="false">
      <c r="B239" s="10"/>
      <c r="C239" s="8"/>
      <c r="D239" s="12"/>
      <c r="E239" s="12"/>
      <c r="F239" s="8"/>
      <c r="G239" s="4"/>
    </row>
    <row r="240" customFormat="false" ht="13" hidden="false" customHeight="false" outlineLevel="0" collapsed="false">
      <c r="B240" s="10"/>
      <c r="C240" s="8"/>
      <c r="D240" s="12"/>
      <c r="E240" s="12"/>
      <c r="F240" s="8"/>
      <c r="G240" s="4"/>
    </row>
    <row r="241" customFormat="false" ht="13" hidden="false" customHeight="false" outlineLevel="0" collapsed="false">
      <c r="B241" s="10"/>
      <c r="C241" s="8"/>
      <c r="D241" s="12"/>
      <c r="E241" s="12"/>
      <c r="F241" s="8"/>
      <c r="G241" s="4"/>
    </row>
    <row r="242" customFormat="false" ht="13" hidden="false" customHeight="false" outlineLevel="0" collapsed="false">
      <c r="B242" s="10"/>
      <c r="C242" s="8"/>
      <c r="D242" s="12"/>
      <c r="E242" s="12"/>
      <c r="F242" s="8"/>
      <c r="G242" s="4"/>
    </row>
    <row r="243" customFormat="false" ht="13" hidden="false" customHeight="false" outlineLevel="0" collapsed="false">
      <c r="B243" s="10"/>
      <c r="C243" s="8"/>
      <c r="D243" s="12"/>
      <c r="E243" s="12"/>
      <c r="F243" s="16"/>
      <c r="G243" s="4"/>
    </row>
    <row r="244" customFormat="false" ht="13" hidden="false" customHeight="false" outlineLevel="0" collapsed="false">
      <c r="B244" s="10"/>
      <c r="C244" s="8"/>
      <c r="D244" s="12"/>
      <c r="E244" s="12"/>
      <c r="F244" s="16"/>
      <c r="G244" s="4"/>
    </row>
    <row r="245" customFormat="false" ht="13" hidden="false" customHeight="false" outlineLevel="0" collapsed="false">
      <c r="B245" s="10"/>
      <c r="C245" s="8"/>
      <c r="D245" s="12"/>
      <c r="E245" s="12"/>
      <c r="F245" s="16"/>
      <c r="G245" s="4"/>
    </row>
    <row r="246" customFormat="false" ht="13" hidden="false" customHeight="false" outlineLevel="0" collapsed="false">
      <c r="B246" s="10"/>
      <c r="C246" s="8"/>
      <c r="D246" s="24"/>
      <c r="E246" s="24"/>
      <c r="F246" s="25"/>
      <c r="G246" s="4"/>
    </row>
    <row r="247" customFormat="false" ht="13" hidden="false" customHeight="false" outlineLevel="0" collapsed="false">
      <c r="B247" s="10"/>
      <c r="C247" s="8"/>
      <c r="D247" s="12"/>
      <c r="E247" s="12"/>
      <c r="F247" s="8"/>
      <c r="G247" s="4"/>
    </row>
    <row r="248" customFormat="false" ht="13" hidden="false" customHeight="false" outlineLevel="0" collapsed="false">
      <c r="B248" s="10"/>
      <c r="C248" s="8"/>
      <c r="D248" s="12"/>
      <c r="E248" s="12"/>
      <c r="F248" s="8"/>
      <c r="G248" s="4"/>
    </row>
    <row r="249" customFormat="false" ht="13" hidden="false" customHeight="false" outlineLevel="0" collapsed="false">
      <c r="B249" s="10"/>
      <c r="C249" s="8"/>
      <c r="D249" s="12"/>
      <c r="E249" s="12"/>
      <c r="F249" s="8"/>
      <c r="G249" s="4"/>
    </row>
    <row r="250" customFormat="false" ht="13" hidden="false" customHeight="false" outlineLevel="0" collapsed="false">
      <c r="B250" s="10"/>
      <c r="C250" s="8"/>
      <c r="D250" s="12"/>
      <c r="E250" s="12"/>
      <c r="F250" s="8"/>
      <c r="G250" s="4"/>
    </row>
    <row r="251" customFormat="false" ht="13" hidden="false" customHeight="false" outlineLevel="0" collapsed="false">
      <c r="B251" s="10"/>
      <c r="C251" s="8"/>
      <c r="D251" s="15"/>
      <c r="E251" s="15"/>
      <c r="F251" s="16"/>
      <c r="G251" s="4"/>
    </row>
    <row r="252" customFormat="false" ht="13" hidden="false" customHeight="false" outlineLevel="0" collapsed="false">
      <c r="B252" s="10"/>
      <c r="C252" s="8"/>
      <c r="D252" s="12"/>
      <c r="E252" s="12"/>
      <c r="F252" s="8"/>
      <c r="G252" s="4"/>
    </row>
    <row r="253" customFormat="false" ht="13" hidden="false" customHeight="false" outlineLevel="0" collapsed="false">
      <c r="B253" s="10"/>
      <c r="C253" s="8"/>
      <c r="D253" s="12"/>
      <c r="E253" s="12"/>
      <c r="F253" s="8"/>
      <c r="G253" s="4"/>
    </row>
    <row r="254" customFormat="false" ht="13" hidden="false" customHeight="false" outlineLevel="0" collapsed="false">
      <c r="B254" s="10"/>
      <c r="C254" s="8"/>
      <c r="D254" s="12"/>
      <c r="E254" s="12"/>
      <c r="F254" s="8"/>
      <c r="G254" s="4"/>
    </row>
    <row r="255" customFormat="false" ht="13" hidden="false" customHeight="false" outlineLevel="0" collapsed="false">
      <c r="B255" s="10"/>
      <c r="C255" s="8"/>
      <c r="D255" s="12"/>
      <c r="E255" s="12"/>
      <c r="F255" s="8"/>
      <c r="G255" s="4"/>
    </row>
    <row r="256" customFormat="false" ht="13" hidden="false" customHeight="false" outlineLevel="0" collapsed="false">
      <c r="B256" s="10"/>
      <c r="C256" s="8"/>
      <c r="D256" s="12"/>
      <c r="E256" s="12"/>
      <c r="F256" s="8"/>
      <c r="G256" s="4"/>
    </row>
    <row r="257" customFormat="false" ht="13" hidden="false" customHeight="false" outlineLevel="0" collapsed="false">
      <c r="B257" s="10"/>
      <c r="C257" s="8"/>
      <c r="D257" s="12"/>
      <c r="E257" s="12"/>
      <c r="F257" s="8"/>
      <c r="G257" s="4"/>
    </row>
    <row r="258" customFormat="false" ht="13" hidden="false" customHeight="false" outlineLevel="0" collapsed="false">
      <c r="B258" s="10"/>
      <c r="C258" s="8"/>
      <c r="D258" s="15"/>
      <c r="E258" s="15"/>
      <c r="F258" s="16"/>
      <c r="G258" s="4"/>
    </row>
    <row r="259" customFormat="false" ht="13" hidden="false" customHeight="false" outlineLevel="0" collapsed="false">
      <c r="B259" s="10"/>
      <c r="C259" s="8"/>
      <c r="D259" s="15"/>
      <c r="E259" s="15"/>
      <c r="F259" s="16"/>
      <c r="G259" s="4"/>
    </row>
    <row r="260" customFormat="false" ht="13" hidden="false" customHeight="false" outlineLevel="0" collapsed="false">
      <c r="B260" s="10"/>
      <c r="C260" s="8"/>
      <c r="D260" s="15"/>
      <c r="E260" s="15"/>
      <c r="F260" s="16"/>
      <c r="G260" s="4"/>
    </row>
    <row r="261" customFormat="false" ht="13" hidden="false" customHeight="false" outlineLevel="0" collapsed="false">
      <c r="B261" s="10"/>
      <c r="C261" s="8"/>
      <c r="D261" s="15"/>
      <c r="E261" s="15"/>
      <c r="F261" s="16"/>
      <c r="G261" s="4"/>
    </row>
    <row r="262" customFormat="false" ht="13" hidden="false" customHeight="false" outlineLevel="0" collapsed="false">
      <c r="B262" s="10"/>
      <c r="C262" s="8"/>
      <c r="D262" s="12"/>
      <c r="E262" s="12"/>
      <c r="F262" s="8"/>
      <c r="G262" s="4"/>
    </row>
    <row r="263" customFormat="false" ht="13" hidden="false" customHeight="false" outlineLevel="0" collapsed="false">
      <c r="B263" s="10"/>
      <c r="C263" s="8"/>
      <c r="D263" s="12"/>
      <c r="E263" s="12"/>
      <c r="F263" s="8"/>
      <c r="G263" s="4"/>
    </row>
    <row r="264" customFormat="false" ht="13" hidden="false" customHeight="false" outlineLevel="0" collapsed="false">
      <c r="B264" s="10"/>
      <c r="C264" s="8"/>
      <c r="D264" s="12"/>
      <c r="E264" s="12"/>
      <c r="F264" s="8"/>
      <c r="G264" s="4"/>
    </row>
    <row r="265" customFormat="false" ht="13" hidden="false" customHeight="false" outlineLevel="0" collapsed="false">
      <c r="B265" s="10"/>
      <c r="C265" s="8"/>
      <c r="D265" s="12"/>
      <c r="E265" s="12"/>
      <c r="F265" s="8"/>
      <c r="G265" s="4"/>
    </row>
    <row r="266" customFormat="false" ht="13" hidden="false" customHeight="false" outlineLevel="0" collapsed="false">
      <c r="B266" s="10"/>
      <c r="C266" s="8"/>
      <c r="D266" s="12"/>
      <c r="E266" s="12"/>
      <c r="F266" s="8"/>
      <c r="G266" s="4"/>
    </row>
    <row r="267" customFormat="false" ht="13" hidden="false" customHeight="false" outlineLevel="0" collapsed="false">
      <c r="B267" s="10"/>
      <c r="C267" s="8"/>
      <c r="D267" s="12"/>
      <c r="E267" s="12"/>
      <c r="F267" s="8"/>
      <c r="G267" s="4"/>
    </row>
    <row r="268" customFormat="false" ht="13" hidden="false" customHeight="false" outlineLevel="0" collapsed="false">
      <c r="B268" s="10"/>
      <c r="C268" s="8"/>
      <c r="D268" s="12"/>
      <c r="E268" s="12"/>
      <c r="F268" s="8"/>
      <c r="G268" s="4"/>
    </row>
    <row r="269" customFormat="false" ht="13" hidden="false" customHeight="false" outlineLevel="0" collapsed="false">
      <c r="B269" s="10"/>
      <c r="C269" s="8"/>
      <c r="D269" s="12"/>
      <c r="E269" s="12"/>
      <c r="F269" s="8"/>
      <c r="G269" s="4"/>
    </row>
    <row r="270" customFormat="false" ht="13" hidden="false" customHeight="false" outlineLevel="0" collapsed="false">
      <c r="B270" s="10"/>
      <c r="C270" s="8"/>
      <c r="D270" s="12"/>
      <c r="E270" s="12"/>
      <c r="F270" s="8"/>
      <c r="G270" s="4"/>
      <c r="I270" s="26"/>
    </row>
    <row r="271" customFormat="false" ht="13" hidden="false" customHeight="false" outlineLevel="0" collapsed="false">
      <c r="B271" s="10"/>
      <c r="C271" s="8"/>
      <c r="D271" s="12"/>
      <c r="E271" s="12"/>
      <c r="F271" s="8"/>
      <c r="G271" s="4"/>
    </row>
    <row r="272" customFormat="false" ht="13" hidden="false" customHeight="false" outlineLevel="0" collapsed="false">
      <c r="B272" s="10"/>
      <c r="C272" s="8"/>
      <c r="D272" s="12"/>
      <c r="E272" s="12"/>
      <c r="F272" s="8"/>
      <c r="G272" s="4"/>
    </row>
    <row r="273" customFormat="false" ht="13" hidden="false" customHeight="false" outlineLevel="0" collapsed="false">
      <c r="B273" s="10"/>
      <c r="C273" s="8"/>
      <c r="D273" s="27"/>
      <c r="E273" s="27"/>
      <c r="F273" s="8"/>
      <c r="G273" s="4"/>
    </row>
    <row r="274" customFormat="false" ht="13" hidden="false" customHeight="false" outlineLevel="0" collapsed="false">
      <c r="B274" s="10"/>
      <c r="C274" s="8"/>
      <c r="D274" s="12"/>
      <c r="E274" s="12"/>
      <c r="F274" s="8"/>
      <c r="G274" s="4"/>
    </row>
    <row r="275" customFormat="false" ht="13" hidden="false" customHeight="false" outlineLevel="0" collapsed="false">
      <c r="B275" s="10"/>
      <c r="C275" s="8"/>
      <c r="D275" s="12"/>
      <c r="E275" s="12"/>
      <c r="F275" s="8"/>
      <c r="G275" s="4"/>
    </row>
    <row r="276" customFormat="false" ht="13" hidden="false" customHeight="false" outlineLevel="0" collapsed="false">
      <c r="B276" s="10"/>
      <c r="C276" s="8"/>
      <c r="D276" s="12"/>
      <c r="E276" s="12"/>
      <c r="F276" s="8"/>
      <c r="G276" s="4"/>
    </row>
    <row r="277" customFormat="false" ht="13" hidden="false" customHeight="false" outlineLevel="0" collapsed="false">
      <c r="B277" s="10"/>
      <c r="C277" s="8"/>
      <c r="D277" s="12"/>
      <c r="E277" s="12"/>
      <c r="F277" s="8"/>
      <c r="G277" s="4"/>
    </row>
    <row r="278" customFormat="false" ht="13" hidden="false" customHeight="false" outlineLevel="0" collapsed="false">
      <c r="B278" s="10"/>
      <c r="C278" s="8"/>
      <c r="D278" s="12"/>
      <c r="E278" s="12"/>
      <c r="F278" s="8"/>
      <c r="G278" s="4"/>
    </row>
    <row r="279" customFormat="false" ht="13" hidden="false" customHeight="false" outlineLevel="0" collapsed="false">
      <c r="B279" s="10"/>
      <c r="C279" s="8"/>
      <c r="D279" s="12"/>
      <c r="E279" s="12"/>
      <c r="F279" s="8"/>
      <c r="G279" s="4"/>
    </row>
    <row r="280" customFormat="false" ht="13" hidden="false" customHeight="false" outlineLevel="0" collapsed="false">
      <c r="B280" s="10"/>
      <c r="C280" s="8"/>
      <c r="D280" s="12"/>
      <c r="E280" s="12"/>
      <c r="F280" s="8"/>
      <c r="G280" s="4"/>
    </row>
    <row r="281" customFormat="false" ht="13" hidden="false" customHeight="false" outlineLevel="0" collapsed="false">
      <c r="B281" s="10"/>
      <c r="C281" s="8"/>
      <c r="D281" s="12"/>
      <c r="E281" s="12"/>
      <c r="F281" s="8"/>
      <c r="G281" s="4"/>
    </row>
    <row r="282" customFormat="false" ht="13" hidden="false" customHeight="false" outlineLevel="0" collapsed="false">
      <c r="B282" s="10"/>
      <c r="C282" s="8"/>
      <c r="D282" s="12"/>
      <c r="E282" s="12"/>
      <c r="F282" s="8"/>
      <c r="G282" s="4"/>
    </row>
    <row r="283" customFormat="false" ht="13" hidden="false" customHeight="false" outlineLevel="0" collapsed="false">
      <c r="B283" s="10"/>
      <c r="C283" s="8"/>
      <c r="D283" s="12"/>
      <c r="E283" s="12"/>
      <c r="F283" s="8"/>
      <c r="G283" s="4"/>
    </row>
    <row r="284" customFormat="false" ht="13" hidden="false" customHeight="false" outlineLevel="0" collapsed="false">
      <c r="B284" s="10"/>
      <c r="C284" s="8"/>
      <c r="D284" s="12"/>
      <c r="E284" s="12"/>
      <c r="F284" s="16"/>
      <c r="G284" s="4"/>
    </row>
    <row r="285" customFormat="false" ht="13" hidden="false" customHeight="false" outlineLevel="0" collapsed="false">
      <c r="B285" s="10"/>
      <c r="C285" s="8"/>
      <c r="D285" s="12"/>
      <c r="E285" s="12"/>
      <c r="F285" s="16"/>
      <c r="G285" s="4"/>
    </row>
    <row r="286" customFormat="false" ht="13" hidden="false" customHeight="false" outlineLevel="0" collapsed="false">
      <c r="B286" s="10"/>
      <c r="C286" s="8"/>
      <c r="D286" s="12"/>
      <c r="E286" s="12"/>
      <c r="F286" s="16"/>
      <c r="G286" s="4"/>
    </row>
    <row r="287" customFormat="false" ht="13" hidden="false" customHeight="false" outlineLevel="0" collapsed="false">
      <c r="B287" s="10"/>
      <c r="C287" s="8"/>
      <c r="D287" s="12"/>
      <c r="E287" s="12"/>
      <c r="F287" s="8"/>
      <c r="G287" s="4"/>
    </row>
    <row r="288" customFormat="false" ht="13" hidden="false" customHeight="false" outlineLevel="0" collapsed="false">
      <c r="B288" s="10"/>
      <c r="C288" s="8"/>
      <c r="D288" s="12"/>
      <c r="E288" s="12"/>
      <c r="F288" s="8"/>
      <c r="G288" s="4"/>
    </row>
    <row r="289" customFormat="false" ht="13" hidden="false" customHeight="false" outlineLevel="0" collapsed="false">
      <c r="B289" s="10"/>
      <c r="C289" s="8"/>
      <c r="D289" s="12"/>
      <c r="E289" s="12"/>
      <c r="F289" s="8"/>
      <c r="G289" s="4"/>
    </row>
    <row r="290" customFormat="false" ht="13" hidden="false" customHeight="false" outlineLevel="0" collapsed="false">
      <c r="B290" s="10"/>
      <c r="C290" s="8"/>
      <c r="D290" s="12"/>
      <c r="E290" s="12"/>
      <c r="F290" s="8"/>
      <c r="G290" s="4"/>
    </row>
    <row r="291" customFormat="false" ht="13" hidden="false" customHeight="false" outlineLevel="0" collapsed="false">
      <c r="B291" s="10"/>
      <c r="C291" s="8"/>
      <c r="D291" s="12"/>
      <c r="E291" s="12"/>
      <c r="F291" s="16"/>
      <c r="G291" s="4"/>
    </row>
    <row r="292" customFormat="false" ht="13" hidden="false" customHeight="false" outlineLevel="0" collapsed="false">
      <c r="B292" s="10"/>
      <c r="C292" s="8"/>
      <c r="D292" s="12"/>
      <c r="E292" s="12"/>
      <c r="F292" s="8"/>
      <c r="G292" s="4"/>
    </row>
    <row r="293" customFormat="false" ht="13" hidden="false" customHeight="false" outlineLevel="0" collapsed="false">
      <c r="B293" s="10"/>
      <c r="C293" s="8"/>
      <c r="D293" s="12"/>
      <c r="E293" s="12"/>
      <c r="F293" s="8"/>
      <c r="G293" s="4"/>
    </row>
    <row r="294" customFormat="false" ht="13" hidden="false" customHeight="false" outlineLevel="0" collapsed="false">
      <c r="B294" s="10"/>
      <c r="C294" s="8"/>
      <c r="D294" s="12"/>
      <c r="E294" s="12"/>
      <c r="F294" s="8"/>
      <c r="G294" s="4"/>
    </row>
    <row r="295" customFormat="false" ht="13" hidden="false" customHeight="false" outlineLevel="0" collapsed="false">
      <c r="B295" s="10"/>
      <c r="C295" s="8"/>
      <c r="D295" s="12"/>
      <c r="E295" s="12"/>
      <c r="F295" s="8"/>
      <c r="G295" s="4"/>
    </row>
    <row r="296" customFormat="false" ht="13" hidden="false" customHeight="false" outlineLevel="0" collapsed="false">
      <c r="B296" s="10"/>
      <c r="C296" s="8"/>
      <c r="D296" s="15"/>
      <c r="E296" s="15"/>
      <c r="F296" s="16"/>
      <c r="G296" s="4"/>
    </row>
    <row r="297" customFormat="false" ht="13" hidden="false" customHeight="false" outlineLevel="0" collapsed="false">
      <c r="B297" s="10"/>
      <c r="C297" s="8"/>
      <c r="D297" s="12"/>
      <c r="E297" s="12"/>
      <c r="F297" s="16"/>
      <c r="G297" s="4"/>
    </row>
    <row r="298" customFormat="false" ht="13" hidden="false" customHeight="false" outlineLevel="0" collapsed="false">
      <c r="B298" s="10"/>
      <c r="C298" s="8"/>
      <c r="D298" s="12"/>
      <c r="E298" s="12"/>
      <c r="F298" s="8"/>
      <c r="G298" s="4"/>
    </row>
    <row r="299" customFormat="false" ht="13" hidden="false" customHeight="false" outlineLevel="0" collapsed="false">
      <c r="B299" s="10"/>
      <c r="C299" s="8"/>
      <c r="D299" s="12"/>
      <c r="E299" s="12"/>
      <c r="F299" s="8"/>
      <c r="G299" s="4"/>
    </row>
    <row r="300" customFormat="false" ht="13" hidden="false" customHeight="false" outlineLevel="0" collapsed="false">
      <c r="B300" s="10"/>
      <c r="C300" s="8"/>
      <c r="D300" s="12"/>
      <c r="E300" s="12"/>
      <c r="F300" s="8"/>
      <c r="G300" s="4"/>
    </row>
    <row r="301" customFormat="false" ht="13" hidden="false" customHeight="false" outlineLevel="0" collapsed="false">
      <c r="B301" s="10"/>
      <c r="C301" s="8"/>
      <c r="D301" s="12"/>
      <c r="E301" s="12"/>
      <c r="F301" s="8"/>
      <c r="G301" s="4"/>
    </row>
    <row r="302" customFormat="false" ht="13" hidden="false" customHeight="false" outlineLevel="0" collapsed="false">
      <c r="B302" s="10"/>
      <c r="C302" s="8"/>
      <c r="D302" s="12"/>
      <c r="E302" s="12"/>
      <c r="F302" s="16"/>
      <c r="G302" s="4"/>
    </row>
    <row r="303" customFormat="false" ht="13" hidden="false" customHeight="false" outlineLevel="0" collapsed="false">
      <c r="B303" s="10"/>
      <c r="C303" s="8"/>
      <c r="D303" s="12"/>
      <c r="E303" s="12"/>
      <c r="F303" s="16"/>
      <c r="G303" s="4"/>
    </row>
    <row r="304" customFormat="false" ht="13" hidden="false" customHeight="false" outlineLevel="0" collapsed="false">
      <c r="B304" s="10"/>
      <c r="C304" s="8"/>
      <c r="D304" s="12"/>
      <c r="E304" s="12"/>
      <c r="F304" s="16"/>
      <c r="G304" s="4"/>
    </row>
    <row r="305" customFormat="false" ht="13" hidden="false" customHeight="false" outlineLevel="0" collapsed="false">
      <c r="B305" s="10"/>
      <c r="C305" s="8"/>
      <c r="D305" s="12"/>
      <c r="E305" s="12"/>
      <c r="F305" s="16"/>
      <c r="G305" s="4"/>
    </row>
    <row r="306" customFormat="false" ht="13" hidden="false" customHeight="false" outlineLevel="0" collapsed="false">
      <c r="B306" s="10"/>
      <c r="C306" s="8"/>
      <c r="D306" s="12"/>
      <c r="E306" s="12"/>
      <c r="F306" s="16"/>
      <c r="G306" s="4"/>
    </row>
    <row r="307" customFormat="false" ht="13" hidden="false" customHeight="false" outlineLevel="0" collapsed="false">
      <c r="B307" s="10"/>
      <c r="C307" s="8"/>
      <c r="D307" s="12"/>
      <c r="E307" s="12"/>
      <c r="F307" s="16"/>
      <c r="G307" s="4"/>
    </row>
    <row r="308" customFormat="false" ht="13" hidden="false" customHeight="false" outlineLevel="0" collapsed="false">
      <c r="B308" s="10"/>
      <c r="C308" s="8"/>
      <c r="D308" s="12"/>
      <c r="E308" s="12"/>
      <c r="F308" s="16"/>
      <c r="G308" s="4"/>
    </row>
    <row r="309" customFormat="false" ht="13" hidden="false" customHeight="false" outlineLevel="0" collapsed="false">
      <c r="B309" s="10"/>
      <c r="C309" s="8"/>
      <c r="D309" s="12"/>
      <c r="E309" s="12"/>
      <c r="F309" s="16"/>
      <c r="G309" s="4"/>
    </row>
    <row r="310" customFormat="false" ht="13" hidden="false" customHeight="false" outlineLevel="0" collapsed="false">
      <c r="B310" s="10"/>
      <c r="C310" s="8"/>
      <c r="D310" s="12"/>
      <c r="E310" s="12"/>
      <c r="F310" s="16"/>
      <c r="G310" s="4"/>
    </row>
    <row r="311" customFormat="false" ht="13" hidden="false" customHeight="false" outlineLevel="0" collapsed="false">
      <c r="B311" s="10"/>
      <c r="C311" s="8"/>
      <c r="D311" s="12"/>
      <c r="E311" s="12"/>
      <c r="F311" s="16"/>
      <c r="G311" s="4"/>
      <c r="H311" s="26"/>
    </row>
    <row r="312" customFormat="false" ht="13" hidden="false" customHeight="false" outlineLevel="0" collapsed="false">
      <c r="B312" s="10"/>
      <c r="C312" s="8"/>
      <c r="D312" s="12"/>
      <c r="E312" s="12"/>
      <c r="F312" s="16"/>
      <c r="G312" s="4"/>
    </row>
    <row r="313" customFormat="false" ht="13" hidden="false" customHeight="false" outlineLevel="0" collapsed="false">
      <c r="B313" s="10"/>
      <c r="C313" s="8"/>
      <c r="D313" s="12"/>
      <c r="E313" s="12"/>
      <c r="F313" s="16"/>
      <c r="G313" s="4"/>
    </row>
    <row r="314" customFormat="false" ht="13" hidden="false" customHeight="false" outlineLevel="0" collapsed="false">
      <c r="B314" s="10"/>
      <c r="C314" s="8"/>
      <c r="D314" s="12"/>
      <c r="E314" s="12"/>
      <c r="F314" s="8"/>
      <c r="G314" s="4"/>
    </row>
    <row r="315" customFormat="false" ht="13" hidden="false" customHeight="false" outlineLevel="0" collapsed="false">
      <c r="B315" s="10"/>
      <c r="C315" s="8"/>
      <c r="D315" s="12"/>
      <c r="E315" s="12"/>
      <c r="F315" s="8"/>
      <c r="G315" s="4"/>
    </row>
    <row r="316" customFormat="false" ht="13" hidden="false" customHeight="false" outlineLevel="0" collapsed="false">
      <c r="B316" s="10"/>
      <c r="C316" s="8"/>
      <c r="D316" s="12"/>
      <c r="E316" s="12"/>
      <c r="F316" s="16"/>
      <c r="G316" s="4"/>
    </row>
    <row r="317" customFormat="false" ht="13" hidden="false" customHeight="false" outlineLevel="0" collapsed="false">
      <c r="B317" s="10"/>
      <c r="C317" s="8"/>
      <c r="D317" s="12"/>
      <c r="E317" s="12"/>
      <c r="F317" s="8"/>
      <c r="G317" s="4"/>
    </row>
    <row r="318" customFormat="false" ht="13" hidden="false" customHeight="false" outlineLevel="0" collapsed="false">
      <c r="B318" s="10"/>
      <c r="C318" s="8"/>
      <c r="D318" s="12"/>
      <c r="E318" s="12"/>
      <c r="F318" s="8"/>
      <c r="G318" s="4"/>
    </row>
    <row r="319" customFormat="false" ht="13" hidden="false" customHeight="false" outlineLevel="0" collapsed="false">
      <c r="B319" s="10"/>
      <c r="C319" s="8"/>
      <c r="D319" s="12"/>
      <c r="E319" s="12"/>
      <c r="F319" s="8"/>
      <c r="G319" s="4"/>
    </row>
    <row r="320" customFormat="false" ht="13" hidden="false" customHeight="false" outlineLevel="0" collapsed="false">
      <c r="B320" s="10"/>
      <c r="C320" s="8"/>
      <c r="D320" s="12"/>
      <c r="E320" s="12"/>
      <c r="F320" s="8"/>
      <c r="G320" s="4"/>
    </row>
    <row r="321" customFormat="false" ht="13" hidden="false" customHeight="false" outlineLevel="0" collapsed="false">
      <c r="B321" s="10"/>
      <c r="C321" s="8"/>
      <c r="D321" s="12"/>
      <c r="E321" s="12"/>
      <c r="F321" s="8"/>
      <c r="G321" s="4"/>
    </row>
    <row r="322" customFormat="false" ht="13" hidden="false" customHeight="false" outlineLevel="0" collapsed="false">
      <c r="B322" s="10"/>
      <c r="C322" s="8"/>
      <c r="D322" s="12"/>
      <c r="E322" s="12"/>
      <c r="F322" s="8"/>
      <c r="G322" s="4"/>
    </row>
    <row r="323" customFormat="false" ht="13" hidden="false" customHeight="false" outlineLevel="0" collapsed="false">
      <c r="B323" s="10"/>
      <c r="C323" s="8"/>
      <c r="D323" s="12"/>
      <c r="E323" s="12"/>
      <c r="F323" s="16"/>
      <c r="G323" s="4"/>
    </row>
    <row r="324" customFormat="false" ht="13" hidden="false" customHeight="false" outlineLevel="0" collapsed="false">
      <c r="B324" s="10"/>
      <c r="C324" s="8"/>
      <c r="D324" s="12"/>
      <c r="E324" s="12"/>
      <c r="F324" s="16"/>
      <c r="G324" s="4"/>
    </row>
    <row r="325" customFormat="false" ht="13" hidden="false" customHeight="false" outlineLevel="0" collapsed="false">
      <c r="B325" s="10"/>
      <c r="C325" s="8"/>
      <c r="D325" s="12"/>
      <c r="E325" s="12"/>
      <c r="F325" s="16"/>
      <c r="G325" s="4"/>
    </row>
    <row r="326" customFormat="false" ht="13" hidden="false" customHeight="false" outlineLevel="0" collapsed="false">
      <c r="B326" s="10"/>
      <c r="C326" s="8"/>
      <c r="D326" s="12"/>
      <c r="E326" s="12"/>
      <c r="F326" s="16"/>
      <c r="G326" s="4"/>
    </row>
    <row r="327" customFormat="false" ht="13" hidden="false" customHeight="false" outlineLevel="0" collapsed="false">
      <c r="B327" s="10"/>
      <c r="C327" s="8"/>
      <c r="D327" s="12"/>
      <c r="E327" s="12"/>
      <c r="F327" s="16"/>
      <c r="G327" s="4"/>
    </row>
    <row r="328" customFormat="false" ht="13" hidden="false" customHeight="false" outlineLevel="0" collapsed="false">
      <c r="B328" s="10"/>
      <c r="C328" s="8"/>
      <c r="D328" s="12"/>
      <c r="E328" s="12"/>
      <c r="F328" s="16"/>
      <c r="G328" s="4"/>
    </row>
    <row r="329" customFormat="false" ht="13" hidden="false" customHeight="false" outlineLevel="0" collapsed="false">
      <c r="B329" s="10"/>
      <c r="C329" s="8"/>
      <c r="D329" s="12"/>
      <c r="E329" s="12"/>
      <c r="F329" s="8"/>
      <c r="G329" s="4"/>
    </row>
    <row r="330" customFormat="false" ht="13" hidden="false" customHeight="false" outlineLevel="0" collapsed="false">
      <c r="B330" s="10"/>
      <c r="C330" s="8"/>
      <c r="D330" s="12"/>
      <c r="E330" s="12"/>
      <c r="F330" s="8"/>
      <c r="G330" s="4"/>
    </row>
    <row r="331" customFormat="false" ht="13" hidden="false" customHeight="false" outlineLevel="0" collapsed="false">
      <c r="B331" s="10"/>
      <c r="C331" s="8"/>
      <c r="D331" s="12"/>
      <c r="E331" s="12"/>
      <c r="F331" s="8"/>
      <c r="G331" s="4"/>
    </row>
    <row r="332" customFormat="false" ht="13" hidden="false" customHeight="false" outlineLevel="0" collapsed="false">
      <c r="B332" s="10"/>
      <c r="C332" s="8"/>
      <c r="D332" s="12"/>
      <c r="E332" s="12"/>
      <c r="F332" s="8"/>
      <c r="G332" s="4"/>
    </row>
    <row r="333" customFormat="false" ht="13" hidden="false" customHeight="false" outlineLevel="0" collapsed="false">
      <c r="B333" s="10"/>
      <c r="C333" s="8"/>
      <c r="D333" s="12"/>
      <c r="E333" s="12"/>
      <c r="F333" s="8"/>
      <c r="G333" s="4"/>
    </row>
    <row r="334" customFormat="false" ht="13" hidden="false" customHeight="false" outlineLevel="0" collapsed="false">
      <c r="B334" s="10"/>
      <c r="C334" s="8"/>
      <c r="D334" s="12"/>
      <c r="E334" s="12"/>
      <c r="F334" s="8"/>
      <c r="G334" s="4"/>
    </row>
    <row r="335" customFormat="false" ht="13" hidden="false" customHeight="false" outlineLevel="0" collapsed="false">
      <c r="B335" s="10"/>
      <c r="C335" s="8"/>
      <c r="D335" s="12"/>
      <c r="E335" s="12"/>
      <c r="F335" s="8"/>
      <c r="G335" s="4"/>
    </row>
    <row r="336" customFormat="false" ht="13" hidden="false" customHeight="false" outlineLevel="0" collapsed="false">
      <c r="B336" s="10"/>
      <c r="C336" s="8"/>
      <c r="D336" s="12"/>
      <c r="E336" s="12"/>
      <c r="F336" s="8"/>
      <c r="G336" s="4"/>
    </row>
    <row r="337" customFormat="false" ht="13" hidden="false" customHeight="false" outlineLevel="0" collapsed="false">
      <c r="B337" s="10"/>
      <c r="C337" s="8"/>
      <c r="D337" s="12"/>
      <c r="E337" s="12"/>
      <c r="F337" s="8"/>
      <c r="G337" s="4"/>
    </row>
    <row r="338" customFormat="false" ht="13" hidden="false" customHeight="false" outlineLevel="0" collapsed="false">
      <c r="B338" s="10"/>
      <c r="C338" s="8"/>
      <c r="D338" s="12"/>
      <c r="E338" s="12"/>
      <c r="F338" s="8"/>
      <c r="G338" s="4"/>
    </row>
    <row r="339" customFormat="false" ht="13" hidden="false" customHeight="false" outlineLevel="0" collapsed="false">
      <c r="B339" s="10"/>
      <c r="C339" s="8"/>
      <c r="D339" s="12"/>
      <c r="E339" s="12"/>
      <c r="F339" s="8"/>
      <c r="G339" s="4"/>
    </row>
    <row r="340" customFormat="false" ht="13" hidden="false" customHeight="false" outlineLevel="0" collapsed="false">
      <c r="B340" s="10"/>
      <c r="C340" s="8"/>
      <c r="D340" s="12"/>
      <c r="E340" s="12"/>
      <c r="F340" s="8"/>
      <c r="G340" s="4"/>
    </row>
    <row r="341" customFormat="false" ht="13" hidden="false" customHeight="false" outlineLevel="0" collapsed="false">
      <c r="B341" s="10"/>
      <c r="C341" s="8"/>
      <c r="D341" s="12"/>
      <c r="E341" s="12"/>
      <c r="F341" s="8"/>
      <c r="G341" s="4"/>
    </row>
    <row r="342" customFormat="false" ht="13" hidden="false" customHeight="false" outlineLevel="0" collapsed="false">
      <c r="B342" s="10"/>
      <c r="C342" s="8"/>
      <c r="D342" s="12"/>
      <c r="E342" s="12"/>
      <c r="F342" s="8"/>
      <c r="G342" s="4"/>
    </row>
    <row r="343" customFormat="false" ht="13" hidden="false" customHeight="false" outlineLevel="0" collapsed="false">
      <c r="B343" s="10"/>
      <c r="C343" s="8"/>
      <c r="D343" s="12"/>
      <c r="E343" s="12"/>
      <c r="F343" s="8"/>
      <c r="G343" s="4"/>
    </row>
    <row r="344" customFormat="false" ht="13" hidden="false" customHeight="false" outlineLevel="0" collapsed="false">
      <c r="B344" s="10"/>
      <c r="C344" s="8"/>
      <c r="D344" s="12"/>
      <c r="E344" s="12"/>
      <c r="F344" s="8"/>
      <c r="G344" s="4"/>
    </row>
    <row r="345" customFormat="false" ht="13" hidden="false" customHeight="false" outlineLevel="0" collapsed="false">
      <c r="B345" s="10"/>
      <c r="C345" s="8"/>
      <c r="D345" s="12"/>
      <c r="E345" s="12"/>
      <c r="F345" s="8"/>
      <c r="G345" s="4"/>
    </row>
    <row r="346" customFormat="false" ht="13" hidden="false" customHeight="false" outlineLevel="0" collapsed="false">
      <c r="B346" s="10"/>
      <c r="C346" s="8"/>
      <c r="D346" s="12"/>
      <c r="E346" s="12"/>
      <c r="F346" s="8"/>
      <c r="G346" s="4"/>
    </row>
    <row r="347" customFormat="false" ht="13" hidden="false" customHeight="false" outlineLevel="0" collapsed="false">
      <c r="B347" s="10"/>
      <c r="C347" s="8"/>
      <c r="D347" s="12"/>
      <c r="E347" s="12"/>
      <c r="F347" s="8"/>
      <c r="G347" s="4"/>
    </row>
    <row r="348" customFormat="false" ht="13" hidden="false" customHeight="false" outlineLevel="0" collapsed="false">
      <c r="B348" s="10"/>
      <c r="C348" s="8"/>
      <c r="D348" s="12"/>
      <c r="E348" s="12"/>
      <c r="F348" s="8"/>
      <c r="G348" s="4"/>
    </row>
    <row r="349" customFormat="false" ht="13" hidden="false" customHeight="false" outlineLevel="0" collapsed="false">
      <c r="B349" s="10"/>
      <c r="C349" s="8"/>
      <c r="D349" s="12"/>
      <c r="E349" s="12"/>
      <c r="F349" s="8"/>
      <c r="G349" s="4" t="e">
        <f aca="false">G348+#REF!-F349</f>
        <v>#REF!</v>
      </c>
    </row>
    <row r="350" customFormat="false" ht="13" hidden="false" customHeight="false" outlineLevel="0" collapsed="false">
      <c r="B350" s="10"/>
      <c r="C350" s="8"/>
      <c r="D350" s="12"/>
      <c r="E350" s="12"/>
      <c r="F350" s="8"/>
      <c r="G350" s="4" t="e">
        <f aca="false">G349+#REF!-F350</f>
        <v>#REF!</v>
      </c>
    </row>
    <row r="351" customFormat="false" ht="13" hidden="false" customHeight="false" outlineLevel="0" collapsed="false">
      <c r="B351" s="10"/>
      <c r="C351" s="8"/>
      <c r="D351" s="12"/>
      <c r="E351" s="12"/>
      <c r="F351" s="8"/>
      <c r="G351" s="4" t="e">
        <f aca="false">G350+#REF!-F351</f>
        <v>#REF!</v>
      </c>
    </row>
    <row r="352" customFormat="false" ht="13" hidden="false" customHeight="false" outlineLevel="0" collapsed="false">
      <c r="B352" s="10"/>
      <c r="C352" s="8"/>
      <c r="D352" s="12"/>
      <c r="E352" s="12"/>
      <c r="F352" s="8"/>
      <c r="G352" s="4" t="e">
        <f aca="false">G351+#REF!-F352</f>
        <v>#REF!</v>
      </c>
    </row>
    <row r="353" customFormat="false" ht="13" hidden="false" customHeight="false" outlineLevel="0" collapsed="false">
      <c r="B353" s="10"/>
      <c r="C353" s="8"/>
      <c r="D353" s="12"/>
      <c r="E353" s="12"/>
      <c r="F353" s="8"/>
      <c r="G353" s="4" t="e">
        <f aca="false">G352+#REF!-F353</f>
        <v>#REF!</v>
      </c>
    </row>
    <row r="354" customFormat="false" ht="13" hidden="false" customHeight="false" outlineLevel="0" collapsed="false">
      <c r="B354" s="10"/>
      <c r="C354" s="8"/>
      <c r="D354" s="12"/>
      <c r="E354" s="12"/>
      <c r="F354" s="8"/>
      <c r="G354" s="4" t="e">
        <f aca="false">G353+#REF!-F354</f>
        <v>#REF!</v>
      </c>
    </row>
    <row r="355" customFormat="false" ht="13" hidden="false" customHeight="false" outlineLevel="0" collapsed="false">
      <c r="B355" s="10"/>
      <c r="C355" s="8"/>
      <c r="D355" s="12"/>
      <c r="E355" s="12"/>
      <c r="F355" s="8"/>
      <c r="G355" s="4" t="e">
        <f aca="false">G354+#REF!-F355</f>
        <v>#REF!</v>
      </c>
    </row>
    <row r="356" customFormat="false" ht="13" hidden="false" customHeight="false" outlineLevel="0" collapsed="false">
      <c r="B356" s="10"/>
      <c r="C356" s="8"/>
      <c r="D356" s="12"/>
      <c r="E356" s="12"/>
      <c r="F356" s="8"/>
      <c r="G356" s="4" t="e">
        <f aca="false">G355+#REF!-F356</f>
        <v>#REF!</v>
      </c>
    </row>
    <row r="357" customFormat="false" ht="13" hidden="false" customHeight="false" outlineLevel="0" collapsed="false">
      <c r="B357" s="10"/>
      <c r="C357" s="8"/>
      <c r="D357" s="12"/>
      <c r="E357" s="12"/>
      <c r="F357" s="16"/>
      <c r="G357" s="4" t="e">
        <f aca="false">G356+#REF!-F357</f>
        <v>#REF!</v>
      </c>
    </row>
    <row r="358" customFormat="false" ht="13" hidden="false" customHeight="false" outlineLevel="0" collapsed="false">
      <c r="B358" s="10"/>
      <c r="C358" s="8"/>
      <c r="D358" s="12"/>
      <c r="E358" s="12"/>
      <c r="F358" s="8"/>
      <c r="G358" s="4" t="e">
        <f aca="false">G357+#REF!-F358</f>
        <v>#REF!</v>
      </c>
    </row>
    <row r="359" customFormat="false" ht="13" hidden="false" customHeight="false" outlineLevel="0" collapsed="false">
      <c r="B359" s="10"/>
      <c r="C359" s="8"/>
      <c r="D359" s="12"/>
      <c r="E359" s="12"/>
      <c r="F359" s="8"/>
      <c r="G359" s="4" t="e">
        <f aca="false">G358+#REF!-F359</f>
        <v>#REF!</v>
      </c>
    </row>
    <row r="360" customFormat="false" ht="13" hidden="false" customHeight="false" outlineLevel="0" collapsed="false">
      <c r="B360" s="10"/>
      <c r="C360" s="8"/>
      <c r="D360" s="12"/>
      <c r="E360" s="12"/>
      <c r="F360" s="8"/>
      <c r="G360" s="4" t="e">
        <f aca="false">G359+#REF!-F360</f>
        <v>#REF!</v>
      </c>
    </row>
    <row r="361" customFormat="false" ht="13" hidden="false" customHeight="false" outlineLevel="0" collapsed="false">
      <c r="B361" s="10"/>
      <c r="C361" s="8"/>
      <c r="D361" s="12"/>
      <c r="E361" s="12"/>
      <c r="F361" s="8"/>
      <c r="G361" s="4" t="e">
        <f aca="false">G360+#REF!-F361</f>
        <v>#REF!</v>
      </c>
    </row>
    <row r="362" customFormat="false" ht="13" hidden="false" customHeight="false" outlineLevel="0" collapsed="false">
      <c r="B362" s="10"/>
      <c r="C362" s="8"/>
      <c r="D362" s="12"/>
      <c r="E362" s="12"/>
      <c r="F362" s="8"/>
      <c r="G362" s="4" t="e">
        <f aca="false">G361+#REF!-F362</f>
        <v>#REF!</v>
      </c>
    </row>
    <row r="363" customFormat="false" ht="13" hidden="false" customHeight="false" outlineLevel="0" collapsed="false">
      <c r="B363" s="10"/>
      <c r="C363" s="8"/>
      <c r="D363" s="12"/>
      <c r="E363" s="12"/>
      <c r="F363" s="8"/>
      <c r="G363" s="4" t="e">
        <f aca="false">G362+#REF!-F363</f>
        <v>#REF!</v>
      </c>
    </row>
    <row r="364" customFormat="false" ht="13" hidden="false" customHeight="false" outlineLevel="0" collapsed="false">
      <c r="B364" s="10"/>
      <c r="C364" s="8"/>
      <c r="D364" s="12"/>
      <c r="E364" s="12"/>
      <c r="F364" s="8"/>
      <c r="G364" s="4" t="e">
        <f aca="false">G363+#REF!-F364</f>
        <v>#REF!</v>
      </c>
    </row>
    <row r="365" customFormat="false" ht="13" hidden="false" customHeight="false" outlineLevel="0" collapsed="false">
      <c r="B365" s="10"/>
      <c r="C365" s="8"/>
      <c r="D365" s="12"/>
      <c r="E365" s="12"/>
      <c r="F365" s="8"/>
      <c r="G365" s="4" t="e">
        <f aca="false">G364+#REF!-F365</f>
        <v>#REF!</v>
      </c>
    </row>
    <row r="366" customFormat="false" ht="13" hidden="false" customHeight="false" outlineLevel="0" collapsed="false">
      <c r="B366" s="10"/>
      <c r="C366" s="8"/>
      <c r="D366" s="12"/>
      <c r="E366" s="12"/>
      <c r="F366" s="8"/>
      <c r="G366" s="4" t="e">
        <f aca="false">G365+#REF!-F366</f>
        <v>#REF!</v>
      </c>
    </row>
    <row r="367" customFormat="false" ht="13" hidden="false" customHeight="false" outlineLevel="0" collapsed="false">
      <c r="B367" s="10"/>
      <c r="C367" s="8"/>
      <c r="D367" s="12"/>
      <c r="E367" s="12"/>
      <c r="F367" s="8"/>
      <c r="G367" s="4" t="e">
        <f aca="false">G366+#REF!-F367</f>
        <v>#REF!</v>
      </c>
    </row>
    <row r="368" customFormat="false" ht="13" hidden="false" customHeight="false" outlineLevel="0" collapsed="false">
      <c r="B368" s="10"/>
      <c r="C368" s="8"/>
      <c r="D368" s="12"/>
      <c r="E368" s="12"/>
      <c r="F368" s="8"/>
      <c r="G368" s="4" t="e">
        <f aca="false">G367+#REF!-F368</f>
        <v>#REF!</v>
      </c>
    </row>
    <row r="369" customFormat="false" ht="13" hidden="false" customHeight="false" outlineLevel="0" collapsed="false">
      <c r="B369" s="10"/>
      <c r="C369" s="8"/>
      <c r="D369" s="12"/>
      <c r="E369" s="12"/>
      <c r="F369" s="16"/>
      <c r="G369" s="4" t="e">
        <f aca="false">G368+#REF!-F369</f>
        <v>#REF!</v>
      </c>
    </row>
    <row r="370" customFormat="false" ht="13" hidden="false" customHeight="false" outlineLevel="0" collapsed="false">
      <c r="B370" s="10"/>
      <c r="C370" s="8"/>
      <c r="D370" s="12"/>
      <c r="E370" s="12"/>
      <c r="F370" s="16"/>
      <c r="G370" s="4" t="e">
        <f aca="false">G369+#REF!-F370</f>
        <v>#REF!</v>
      </c>
    </row>
    <row r="371" customFormat="false" ht="13" hidden="false" customHeight="false" outlineLevel="0" collapsed="false">
      <c r="B371" s="10"/>
      <c r="C371" s="8"/>
      <c r="D371" s="12"/>
      <c r="E371" s="12"/>
      <c r="F371" s="8"/>
      <c r="G371" s="4" t="e">
        <f aca="false">G370+#REF!-F371</f>
        <v>#REF!</v>
      </c>
    </row>
    <row r="372" customFormat="false" ht="13" hidden="false" customHeight="false" outlineLevel="0" collapsed="false">
      <c r="B372" s="10"/>
      <c r="C372" s="8"/>
      <c r="D372" s="12"/>
      <c r="E372" s="12"/>
      <c r="F372" s="8"/>
      <c r="G372" s="4" t="e">
        <f aca="false">G371+#REF!-F372</f>
        <v>#REF!</v>
      </c>
    </row>
    <row r="373" customFormat="false" ht="13" hidden="false" customHeight="false" outlineLevel="0" collapsed="false">
      <c r="B373" s="10"/>
      <c r="C373" s="8"/>
      <c r="D373" s="12"/>
      <c r="E373" s="12"/>
      <c r="F373" s="8"/>
      <c r="G373" s="4" t="e">
        <f aca="false">G372+#REF!-F373</f>
        <v>#REF!</v>
      </c>
    </row>
    <row r="374" customFormat="false" ht="13" hidden="false" customHeight="false" outlineLevel="0" collapsed="false">
      <c r="B374" s="10"/>
      <c r="C374" s="8"/>
      <c r="D374" s="12"/>
      <c r="E374" s="12"/>
      <c r="F374" s="8"/>
      <c r="G374" s="4" t="e">
        <f aca="false">G373+#REF!-F374</f>
        <v>#REF!</v>
      </c>
    </row>
    <row r="375" customFormat="false" ht="13" hidden="false" customHeight="false" outlineLevel="0" collapsed="false">
      <c r="B375" s="10"/>
      <c r="C375" s="8"/>
      <c r="D375" s="12"/>
      <c r="E375" s="12"/>
      <c r="F375" s="8"/>
      <c r="G375" s="4" t="e">
        <f aca="false">G374+#REF!-F375</f>
        <v>#REF!</v>
      </c>
    </row>
    <row r="376" customFormat="false" ht="13" hidden="false" customHeight="false" outlineLevel="0" collapsed="false">
      <c r="B376" s="10"/>
      <c r="C376" s="8"/>
      <c r="D376" s="12"/>
      <c r="E376" s="12"/>
      <c r="F376" s="8"/>
      <c r="G376" s="4" t="e">
        <f aca="false">G375+#REF!-F376</f>
        <v>#REF!</v>
      </c>
    </row>
    <row r="377" customFormat="false" ht="13" hidden="false" customHeight="false" outlineLevel="0" collapsed="false">
      <c r="B377" s="10"/>
      <c r="C377" s="8"/>
      <c r="D377" s="12"/>
      <c r="E377" s="12"/>
      <c r="F377" s="8"/>
      <c r="G377" s="4" t="e">
        <f aca="false">G376+#REF!-F377</f>
        <v>#REF!</v>
      </c>
    </row>
    <row r="378" customFormat="false" ht="13" hidden="false" customHeight="false" outlineLevel="0" collapsed="false">
      <c r="B378" s="10"/>
      <c r="C378" s="8"/>
      <c r="D378" s="12"/>
      <c r="E378" s="12"/>
      <c r="F378" s="16"/>
      <c r="G378" s="4" t="e">
        <f aca="false">G377+#REF!-F378</f>
        <v>#REF!</v>
      </c>
    </row>
    <row r="379" customFormat="false" ht="13" hidden="false" customHeight="false" outlineLevel="0" collapsed="false">
      <c r="B379" s="10"/>
      <c r="C379" s="8"/>
      <c r="D379" s="12"/>
      <c r="E379" s="12"/>
      <c r="F379" s="8"/>
      <c r="G379" s="4" t="e">
        <f aca="false">G378+#REF!-F379</f>
        <v>#REF!</v>
      </c>
    </row>
    <row r="380" customFormat="false" ht="13" hidden="false" customHeight="false" outlineLevel="0" collapsed="false">
      <c r="B380" s="10"/>
      <c r="C380" s="8"/>
      <c r="D380" s="12"/>
      <c r="E380" s="12"/>
      <c r="F380" s="8"/>
      <c r="G380" s="4" t="e">
        <f aca="false">G379+#REF!-F380</f>
        <v>#REF!</v>
      </c>
    </row>
    <row r="381" customFormat="false" ht="13" hidden="false" customHeight="false" outlineLevel="0" collapsed="false">
      <c r="B381" s="10"/>
      <c r="C381" s="8"/>
      <c r="D381" s="12"/>
      <c r="E381" s="12"/>
      <c r="F381" s="8"/>
      <c r="G381" s="4"/>
    </row>
    <row r="382" customFormat="false" ht="13" hidden="false" customHeight="false" outlineLevel="0" collapsed="false">
      <c r="B382" s="10"/>
      <c r="C382" s="8"/>
      <c r="D382" s="12"/>
      <c r="E382" s="12"/>
      <c r="F382" s="16"/>
      <c r="G382" s="4"/>
    </row>
    <row r="383" customFormat="false" ht="13" hidden="false" customHeight="false" outlineLevel="0" collapsed="false">
      <c r="B383" s="10"/>
      <c r="C383" s="8"/>
      <c r="D383" s="12"/>
      <c r="E383" s="12"/>
      <c r="F383" s="16"/>
      <c r="G383" s="4"/>
    </row>
    <row r="384" customFormat="false" ht="13" hidden="false" customHeight="false" outlineLevel="0" collapsed="false">
      <c r="B384" s="10"/>
      <c r="C384" s="8"/>
      <c r="D384" s="12"/>
      <c r="E384" s="12"/>
      <c r="F384" s="16"/>
      <c r="G384" s="4"/>
    </row>
    <row r="385" customFormat="false" ht="13" hidden="false" customHeight="false" outlineLevel="0" collapsed="false">
      <c r="B385" s="10"/>
      <c r="C385" s="8"/>
      <c r="D385" s="12"/>
      <c r="E385" s="12"/>
      <c r="F385" s="16"/>
      <c r="G385" s="4"/>
    </row>
    <row r="386" customFormat="false" ht="13" hidden="false" customHeight="false" outlineLevel="0" collapsed="false">
      <c r="B386" s="10"/>
      <c r="C386" s="8"/>
      <c r="D386" s="12"/>
      <c r="E386" s="12"/>
      <c r="F386" s="8"/>
      <c r="G386" s="4"/>
    </row>
    <row r="387" customFormat="false" ht="13" hidden="false" customHeight="false" outlineLevel="0" collapsed="false">
      <c r="B387" s="10"/>
      <c r="C387" s="8"/>
      <c r="D387" s="12"/>
      <c r="E387" s="12"/>
      <c r="F387" s="8"/>
      <c r="G387" s="4"/>
    </row>
    <row r="388" customFormat="false" ht="13" hidden="false" customHeight="false" outlineLevel="0" collapsed="false">
      <c r="B388" s="10"/>
      <c r="C388" s="8"/>
      <c r="D388" s="12"/>
      <c r="E388" s="12"/>
      <c r="F388" s="8"/>
      <c r="G388" s="4"/>
    </row>
    <row r="389" customFormat="false" ht="13" hidden="false" customHeight="false" outlineLevel="0" collapsed="false">
      <c r="B389" s="10"/>
      <c r="C389" s="8"/>
      <c r="D389" s="12"/>
      <c r="E389" s="12"/>
      <c r="F389" s="8"/>
      <c r="G389" s="4"/>
    </row>
    <row r="390" customFormat="false" ht="13" hidden="false" customHeight="false" outlineLevel="0" collapsed="false">
      <c r="B390" s="10"/>
      <c r="C390" s="8"/>
      <c r="D390" s="12"/>
      <c r="E390" s="12"/>
      <c r="F390" s="8"/>
      <c r="G390" s="4"/>
    </row>
    <row r="391" customFormat="false" ht="13" hidden="false" customHeight="false" outlineLevel="0" collapsed="false">
      <c r="B391" s="10"/>
      <c r="C391" s="8"/>
      <c r="D391" s="12"/>
      <c r="E391" s="12"/>
      <c r="F391" s="8"/>
      <c r="G391" s="4"/>
    </row>
    <row r="392" customFormat="false" ht="13" hidden="false" customHeight="false" outlineLevel="0" collapsed="false">
      <c r="B392" s="10"/>
      <c r="C392" s="8"/>
      <c r="D392" s="12"/>
      <c r="E392" s="12"/>
      <c r="F392" s="8"/>
      <c r="G392" s="4"/>
    </row>
    <row r="393" customFormat="false" ht="13" hidden="false" customHeight="false" outlineLevel="0" collapsed="false">
      <c r="B393" s="10"/>
      <c r="C393" s="8"/>
      <c r="D393" s="12"/>
      <c r="E393" s="12"/>
      <c r="F393" s="16"/>
      <c r="G393" s="4"/>
    </row>
    <row r="394" customFormat="false" ht="13" hidden="false" customHeight="false" outlineLevel="0" collapsed="false">
      <c r="B394" s="10"/>
      <c r="C394" s="8"/>
      <c r="D394" s="12"/>
      <c r="E394" s="12"/>
      <c r="F394" s="16"/>
      <c r="G394" s="4"/>
    </row>
    <row r="395" customFormat="false" ht="13" hidden="false" customHeight="false" outlineLevel="0" collapsed="false">
      <c r="B395" s="10"/>
      <c r="C395" s="8"/>
      <c r="D395" s="15"/>
      <c r="E395" s="15"/>
      <c r="F395" s="16"/>
      <c r="G395" s="4"/>
    </row>
    <row r="396" customFormat="false" ht="13" hidden="false" customHeight="false" outlineLevel="0" collapsed="false">
      <c r="B396" s="10"/>
      <c r="C396" s="8"/>
      <c r="D396" s="12"/>
      <c r="E396" s="12"/>
      <c r="F396" s="8"/>
      <c r="G396" s="4"/>
    </row>
    <row r="397" customFormat="false" ht="13" hidden="false" customHeight="false" outlineLevel="0" collapsed="false">
      <c r="B397" s="10"/>
      <c r="C397" s="8"/>
      <c r="D397" s="15"/>
      <c r="E397" s="15"/>
      <c r="F397" s="16"/>
      <c r="G397" s="4"/>
    </row>
    <row r="398" customFormat="false" ht="13" hidden="false" customHeight="false" outlineLevel="0" collapsed="false">
      <c r="B398" s="10"/>
      <c r="C398" s="8"/>
      <c r="D398" s="12"/>
      <c r="E398" s="12"/>
      <c r="F398" s="8"/>
      <c r="G398" s="4"/>
    </row>
    <row r="399" customFormat="false" ht="13" hidden="false" customHeight="false" outlineLevel="0" collapsed="false">
      <c r="B399" s="10"/>
      <c r="C399" s="8"/>
      <c r="D399" s="12"/>
      <c r="E399" s="12"/>
      <c r="F399" s="8"/>
      <c r="G399" s="4"/>
    </row>
    <row r="400" customFormat="false" ht="13" hidden="false" customHeight="false" outlineLevel="0" collapsed="false">
      <c r="B400" s="10"/>
      <c r="C400" s="8"/>
      <c r="D400" s="12"/>
      <c r="E400" s="12"/>
      <c r="F400" s="8"/>
      <c r="G400" s="4"/>
    </row>
    <row r="401" customFormat="false" ht="13" hidden="false" customHeight="false" outlineLevel="0" collapsed="false">
      <c r="B401" s="10"/>
      <c r="C401" s="8"/>
      <c r="D401" s="12"/>
      <c r="E401" s="12"/>
      <c r="F401" s="8"/>
      <c r="G401" s="4"/>
    </row>
    <row r="402" customFormat="false" ht="13" hidden="false" customHeight="false" outlineLevel="0" collapsed="false">
      <c r="B402" s="10"/>
      <c r="C402" s="8"/>
      <c r="D402" s="12"/>
      <c r="E402" s="12"/>
      <c r="F402" s="8"/>
      <c r="G402" s="4"/>
    </row>
    <row r="403" customFormat="false" ht="13" hidden="false" customHeight="false" outlineLevel="0" collapsed="false">
      <c r="B403" s="10"/>
      <c r="C403" s="8"/>
      <c r="D403" s="12"/>
      <c r="E403" s="12"/>
      <c r="F403" s="8"/>
      <c r="G403" s="4"/>
    </row>
    <row r="404" customFormat="false" ht="13" hidden="false" customHeight="false" outlineLevel="0" collapsed="false">
      <c r="B404" s="10"/>
      <c r="C404" s="8"/>
      <c r="D404" s="12"/>
      <c r="E404" s="12"/>
      <c r="F404" s="8"/>
      <c r="G404" s="4"/>
    </row>
    <row r="405" customFormat="false" ht="13" hidden="false" customHeight="false" outlineLevel="0" collapsed="false">
      <c r="B405" s="10"/>
      <c r="C405" s="8"/>
      <c r="D405" s="12"/>
      <c r="E405" s="12"/>
      <c r="F405" s="8"/>
      <c r="G405" s="4"/>
    </row>
    <row r="406" customFormat="false" ht="13" hidden="false" customHeight="false" outlineLevel="0" collapsed="false">
      <c r="B406" s="10"/>
      <c r="C406" s="8"/>
      <c r="D406" s="12"/>
      <c r="E406" s="12"/>
      <c r="F406" s="8"/>
      <c r="G406" s="4"/>
    </row>
    <row r="407" customFormat="false" ht="13" hidden="false" customHeight="false" outlineLevel="0" collapsed="false">
      <c r="B407" s="10"/>
      <c r="C407" s="8"/>
      <c r="D407" s="12"/>
      <c r="E407" s="12"/>
      <c r="F407" s="8"/>
      <c r="G407" s="4"/>
    </row>
    <row r="408" customFormat="false" ht="13" hidden="false" customHeight="false" outlineLevel="0" collapsed="false">
      <c r="B408" s="10"/>
      <c r="C408" s="8"/>
      <c r="D408" s="12"/>
      <c r="E408" s="12"/>
      <c r="F408" s="8"/>
      <c r="G408" s="4"/>
    </row>
    <row r="409" customFormat="false" ht="13" hidden="false" customHeight="false" outlineLevel="0" collapsed="false">
      <c r="B409" s="10"/>
      <c r="C409" s="8"/>
      <c r="D409" s="12"/>
      <c r="E409" s="12"/>
      <c r="F409" s="8"/>
      <c r="G409" s="4"/>
    </row>
    <row r="410" customFormat="false" ht="13" hidden="false" customHeight="false" outlineLevel="0" collapsed="false">
      <c r="B410" s="10"/>
      <c r="C410" s="8"/>
      <c r="D410" s="12"/>
      <c r="E410" s="12"/>
      <c r="F410" s="8"/>
      <c r="G410" s="4"/>
    </row>
    <row r="411" customFormat="false" ht="13" hidden="false" customHeight="false" outlineLevel="0" collapsed="false">
      <c r="B411" s="10"/>
      <c r="C411" s="8"/>
      <c r="D411" s="12"/>
      <c r="E411" s="12"/>
      <c r="F411" s="8"/>
      <c r="G411" s="4"/>
    </row>
    <row r="412" customFormat="false" ht="13" hidden="false" customHeight="false" outlineLevel="0" collapsed="false">
      <c r="B412" s="10"/>
      <c r="C412" s="8"/>
      <c r="D412" s="12"/>
      <c r="E412" s="12"/>
      <c r="F412" s="8"/>
      <c r="G412" s="4"/>
    </row>
    <row r="413" customFormat="false" ht="13" hidden="false" customHeight="false" outlineLevel="0" collapsed="false">
      <c r="B413" s="10"/>
      <c r="C413" s="8"/>
      <c r="D413" s="12"/>
      <c r="E413" s="12"/>
      <c r="F413" s="8"/>
      <c r="G413" s="4"/>
    </row>
    <row r="414" customFormat="false" ht="13" hidden="false" customHeight="false" outlineLevel="0" collapsed="false">
      <c r="B414" s="10"/>
      <c r="C414" s="8"/>
      <c r="D414" s="12"/>
      <c r="E414" s="12"/>
      <c r="F414" s="8"/>
      <c r="G414" s="4"/>
    </row>
    <row r="415" customFormat="false" ht="13" hidden="false" customHeight="false" outlineLevel="0" collapsed="false">
      <c r="B415" s="10"/>
      <c r="C415" s="8"/>
      <c r="D415" s="12"/>
      <c r="E415" s="12"/>
      <c r="F415" s="8"/>
      <c r="G415" s="4"/>
    </row>
    <row r="416" customFormat="false" ht="13" hidden="false" customHeight="false" outlineLevel="0" collapsed="false">
      <c r="B416" s="10"/>
      <c r="C416" s="8"/>
      <c r="D416" s="12"/>
      <c r="E416" s="12"/>
      <c r="F416" s="8"/>
      <c r="G416" s="4"/>
    </row>
    <row r="417" customFormat="false" ht="13" hidden="false" customHeight="false" outlineLevel="0" collapsed="false">
      <c r="B417" s="10"/>
      <c r="C417" s="8"/>
      <c r="D417" s="12"/>
      <c r="E417" s="12"/>
      <c r="F417" s="8"/>
      <c r="G417" s="4"/>
    </row>
    <row r="418" customFormat="false" ht="13" hidden="false" customHeight="false" outlineLevel="0" collapsed="false">
      <c r="B418" s="10"/>
      <c r="C418" s="8"/>
      <c r="D418" s="12"/>
      <c r="E418" s="12"/>
      <c r="F418" s="8"/>
      <c r="G418" s="4"/>
    </row>
    <row r="419" customFormat="false" ht="13" hidden="false" customHeight="false" outlineLevel="0" collapsed="false">
      <c r="B419" s="10"/>
      <c r="C419" s="8"/>
      <c r="D419" s="12"/>
      <c r="E419" s="12"/>
      <c r="F419" s="8"/>
      <c r="G419" s="4" t="e">
        <f aca="false">G418+#REF!-F419</f>
        <v>#REF!</v>
      </c>
    </row>
    <row r="420" customFormat="false" ht="13" hidden="false" customHeight="false" outlineLevel="0" collapsed="false">
      <c r="B420" s="10"/>
      <c r="C420" s="8"/>
      <c r="D420" s="15"/>
      <c r="E420" s="15"/>
      <c r="F420" s="8"/>
      <c r="G420" s="4" t="e">
        <f aca="false">G419+#REF!-F420</f>
        <v>#REF!</v>
      </c>
    </row>
    <row r="421" customFormat="false" ht="13" hidden="false" customHeight="false" outlineLevel="0" collapsed="false">
      <c r="B421" s="10"/>
      <c r="C421" s="8"/>
      <c r="D421" s="15"/>
      <c r="E421" s="15"/>
      <c r="F421" s="8"/>
      <c r="G421" s="4" t="e">
        <f aca="false">G420+#REF!-F421</f>
        <v>#REF!</v>
      </c>
    </row>
    <row r="422" customFormat="false" ht="13" hidden="false" customHeight="false" outlineLevel="0" collapsed="false">
      <c r="B422" s="10"/>
      <c r="C422" s="8"/>
      <c r="D422" s="12"/>
      <c r="E422" s="12"/>
      <c r="F422" s="8"/>
      <c r="G422" s="4" t="e">
        <f aca="false">G421+#REF!-F422</f>
        <v>#REF!</v>
      </c>
    </row>
    <row r="423" customFormat="false" ht="13" hidden="false" customHeight="false" outlineLevel="0" collapsed="false">
      <c r="B423" s="10"/>
      <c r="C423" s="8"/>
      <c r="D423" s="12"/>
      <c r="E423" s="12"/>
      <c r="F423" s="8"/>
      <c r="G423" s="4" t="e">
        <f aca="false">G422+#REF!-F423</f>
        <v>#REF!</v>
      </c>
    </row>
    <row r="424" customFormat="false" ht="13" hidden="false" customHeight="false" outlineLevel="0" collapsed="false">
      <c r="B424" s="10"/>
      <c r="C424" s="8"/>
      <c r="D424" s="12"/>
      <c r="E424" s="12"/>
      <c r="F424" s="8"/>
      <c r="G424" s="4" t="e">
        <f aca="false">G423+#REF!-F424</f>
        <v>#REF!</v>
      </c>
    </row>
    <row r="425" customFormat="false" ht="13" hidden="false" customHeight="false" outlineLevel="0" collapsed="false">
      <c r="B425" s="10"/>
      <c r="C425" s="8"/>
      <c r="D425" s="12"/>
      <c r="E425" s="12"/>
      <c r="F425" s="8"/>
      <c r="G425" s="4" t="e">
        <f aca="false">G424+#REF!-F425</f>
        <v>#REF!</v>
      </c>
    </row>
    <row r="426" customFormat="false" ht="13" hidden="false" customHeight="false" outlineLevel="0" collapsed="false">
      <c r="B426" s="10"/>
      <c r="C426" s="8"/>
      <c r="D426" s="12"/>
      <c r="E426" s="12"/>
      <c r="F426" s="8"/>
      <c r="G426" s="4" t="e">
        <f aca="false">G425+#REF!-F426</f>
        <v>#REF!</v>
      </c>
    </row>
    <row r="427" customFormat="false" ht="13" hidden="false" customHeight="false" outlineLevel="0" collapsed="false">
      <c r="B427" s="10"/>
      <c r="C427" s="8"/>
      <c r="D427" s="12"/>
      <c r="E427" s="12"/>
      <c r="F427" s="8"/>
      <c r="G427" s="4"/>
    </row>
    <row r="428" customFormat="false" ht="13" hidden="false" customHeight="false" outlineLevel="0" collapsed="false">
      <c r="B428" s="10"/>
      <c r="C428" s="8"/>
      <c r="D428" s="12"/>
      <c r="E428" s="12"/>
      <c r="F428" s="8"/>
      <c r="G428" s="4"/>
    </row>
    <row r="429" customFormat="false" ht="13" hidden="false" customHeight="false" outlineLevel="0" collapsed="false">
      <c r="B429" s="10"/>
      <c r="C429" s="8"/>
      <c r="D429" s="12"/>
      <c r="E429" s="12"/>
      <c r="F429" s="8"/>
      <c r="G429" s="4"/>
    </row>
    <row r="430" customFormat="false" ht="13" hidden="false" customHeight="false" outlineLevel="0" collapsed="false">
      <c r="B430" s="10"/>
      <c r="C430" s="8"/>
      <c r="D430" s="12"/>
      <c r="E430" s="12"/>
      <c r="F430" s="8"/>
      <c r="G430" s="4"/>
    </row>
    <row r="431" customFormat="false" ht="13" hidden="false" customHeight="false" outlineLevel="0" collapsed="false">
      <c r="B431" s="10"/>
      <c r="C431" s="8"/>
      <c r="D431" s="15"/>
      <c r="E431" s="15"/>
      <c r="F431" s="16"/>
      <c r="G431" s="4"/>
    </row>
    <row r="432" customFormat="false" ht="13" hidden="false" customHeight="false" outlineLevel="0" collapsed="false">
      <c r="B432" s="10"/>
      <c r="C432" s="8"/>
      <c r="D432" s="12"/>
      <c r="E432" s="12"/>
      <c r="F432" s="8"/>
      <c r="G432" s="4"/>
      <c r="H432" s="23"/>
      <c r="I432" s="23"/>
    </row>
    <row r="433" customFormat="false" ht="13" hidden="false" customHeight="false" outlineLevel="0" collapsed="false">
      <c r="B433" s="10"/>
      <c r="C433" s="8"/>
      <c r="D433" s="12"/>
      <c r="E433" s="12"/>
      <c r="F433" s="8"/>
      <c r="G433" s="4"/>
    </row>
    <row r="434" customFormat="false" ht="13" hidden="false" customHeight="false" outlineLevel="0" collapsed="false">
      <c r="B434" s="10"/>
      <c r="C434" s="8"/>
      <c r="D434" s="12"/>
      <c r="E434" s="12"/>
      <c r="F434" s="8"/>
      <c r="G434" s="4"/>
    </row>
    <row r="435" customFormat="false" ht="13" hidden="false" customHeight="false" outlineLevel="0" collapsed="false">
      <c r="B435" s="10"/>
      <c r="C435" s="8"/>
      <c r="D435" s="12"/>
      <c r="E435" s="12"/>
      <c r="F435" s="8"/>
      <c r="G435" s="4"/>
    </row>
    <row r="436" customFormat="false" ht="13" hidden="false" customHeight="false" outlineLevel="0" collapsed="false">
      <c r="B436" s="10"/>
      <c r="C436" s="8"/>
      <c r="D436" s="12"/>
      <c r="E436" s="12"/>
      <c r="F436" s="8"/>
      <c r="G436" s="4"/>
    </row>
    <row r="437" customFormat="false" ht="13" hidden="false" customHeight="false" outlineLevel="0" collapsed="false">
      <c r="B437" s="10"/>
      <c r="C437" s="8"/>
      <c r="D437" s="12"/>
      <c r="E437" s="12"/>
      <c r="F437" s="8"/>
      <c r="G437" s="4"/>
    </row>
    <row r="438" customFormat="false" ht="13" hidden="false" customHeight="false" outlineLevel="0" collapsed="false">
      <c r="B438" s="10"/>
      <c r="C438" s="8"/>
      <c r="D438" s="12"/>
      <c r="E438" s="12"/>
      <c r="F438" s="8"/>
      <c r="G438" s="4"/>
    </row>
    <row r="439" customFormat="false" ht="13" hidden="false" customHeight="false" outlineLevel="0" collapsed="false">
      <c r="B439" s="10"/>
      <c r="C439" s="8"/>
      <c r="D439" s="12"/>
      <c r="E439" s="12"/>
      <c r="F439" s="8"/>
      <c r="G439" s="4"/>
    </row>
    <row r="440" customFormat="false" ht="13" hidden="false" customHeight="false" outlineLevel="0" collapsed="false">
      <c r="B440" s="10"/>
      <c r="C440" s="8"/>
      <c r="D440" s="12"/>
      <c r="E440" s="12"/>
      <c r="F440" s="8"/>
      <c r="G440" s="4"/>
    </row>
    <row r="441" customFormat="false" ht="13" hidden="false" customHeight="false" outlineLevel="0" collapsed="false">
      <c r="B441" s="10"/>
      <c r="C441" s="8"/>
      <c r="D441" s="12"/>
      <c r="E441" s="12"/>
      <c r="F441" s="8"/>
      <c r="G441" s="4"/>
    </row>
    <row r="442" customFormat="false" ht="13" hidden="false" customHeight="false" outlineLevel="0" collapsed="false">
      <c r="B442" s="10"/>
      <c r="C442" s="8"/>
      <c r="D442" s="12"/>
      <c r="E442" s="12"/>
      <c r="F442" s="8"/>
      <c r="G442" s="4"/>
    </row>
    <row r="443" customFormat="false" ht="13" hidden="false" customHeight="false" outlineLevel="0" collapsed="false">
      <c r="B443" s="10"/>
      <c r="C443" s="8"/>
      <c r="D443" s="12"/>
      <c r="E443" s="12"/>
      <c r="F443" s="8"/>
      <c r="G443" s="4"/>
    </row>
    <row r="444" customFormat="false" ht="13" hidden="false" customHeight="false" outlineLevel="0" collapsed="false">
      <c r="B444" s="10"/>
      <c r="C444" s="8"/>
      <c r="D444" s="12"/>
      <c r="E444" s="12"/>
      <c r="F444" s="8"/>
      <c r="G444" s="4"/>
    </row>
    <row r="445" customFormat="false" ht="13" hidden="false" customHeight="false" outlineLevel="0" collapsed="false">
      <c r="B445" s="10"/>
      <c r="C445" s="8"/>
      <c r="D445" s="12"/>
      <c r="E445" s="12"/>
      <c r="F445" s="8"/>
      <c r="G445" s="4"/>
    </row>
    <row r="446" customFormat="false" ht="13" hidden="false" customHeight="false" outlineLevel="0" collapsed="false">
      <c r="B446" s="10"/>
      <c r="C446" s="8"/>
      <c r="D446" s="12"/>
      <c r="E446" s="12"/>
      <c r="F446" s="8"/>
      <c r="G446" s="4"/>
    </row>
    <row r="447" customFormat="false" ht="13" hidden="false" customHeight="false" outlineLevel="0" collapsed="false">
      <c r="B447" s="10"/>
      <c r="C447" s="8"/>
      <c r="D447" s="12"/>
      <c r="E447" s="12"/>
      <c r="F447" s="8"/>
      <c r="G447" s="4"/>
    </row>
    <row r="448" customFormat="false" ht="13" hidden="false" customHeight="false" outlineLevel="0" collapsed="false">
      <c r="B448" s="28"/>
      <c r="C448" s="16"/>
      <c r="D448" s="15"/>
      <c r="E448" s="15"/>
      <c r="F448" s="16"/>
      <c r="G448" s="4"/>
    </row>
    <row r="449" customFormat="false" ht="13" hidden="false" customHeight="false" outlineLevel="0" collapsed="false">
      <c r="B449" s="10"/>
      <c r="C449" s="8"/>
      <c r="D449" s="12"/>
      <c r="E449" s="12"/>
      <c r="F449" s="8"/>
      <c r="G449" s="4"/>
    </row>
    <row r="450" customFormat="false" ht="13" hidden="false" customHeight="false" outlineLevel="0" collapsed="false">
      <c r="B450" s="10"/>
      <c r="C450" s="8"/>
      <c r="D450" s="12"/>
      <c r="E450" s="12"/>
      <c r="F450" s="8"/>
      <c r="G450" s="4" t="e">
        <f aca="false">G449+#REF!-F450</f>
        <v>#REF!</v>
      </c>
    </row>
    <row r="451" customFormat="false" ht="13" hidden="false" customHeight="false" outlineLevel="0" collapsed="false">
      <c r="B451" s="10"/>
      <c r="C451" s="8"/>
      <c r="D451" s="12"/>
      <c r="E451" s="12"/>
      <c r="F451" s="8"/>
      <c r="G451" s="4" t="e">
        <f aca="false">G450+#REF!-F451</f>
        <v>#REF!</v>
      </c>
    </row>
    <row r="452" customFormat="false" ht="13" hidden="false" customHeight="false" outlineLevel="0" collapsed="false">
      <c r="B452" s="10"/>
      <c r="C452" s="8"/>
      <c r="D452" s="12"/>
      <c r="E452" s="12"/>
      <c r="F452" s="8"/>
      <c r="G452" s="4" t="e">
        <f aca="false">G451+#REF!-F452</f>
        <v>#REF!</v>
      </c>
    </row>
    <row r="453" customFormat="false" ht="13" hidden="false" customHeight="false" outlineLevel="0" collapsed="false">
      <c r="B453" s="10"/>
      <c r="C453" s="8"/>
      <c r="D453" s="12"/>
      <c r="E453" s="12"/>
      <c r="F453" s="8"/>
      <c r="G453" s="4" t="e">
        <f aca="false">G452+#REF!-F453</f>
        <v>#REF!</v>
      </c>
    </row>
    <row r="454" customFormat="false" ht="13" hidden="false" customHeight="false" outlineLevel="0" collapsed="false">
      <c r="B454" s="10"/>
      <c r="C454" s="8"/>
      <c r="D454" s="12"/>
      <c r="E454" s="12"/>
      <c r="F454" s="8"/>
      <c r="G454" s="4" t="e">
        <f aca="false">G453+#REF!-F454</f>
        <v>#REF!</v>
      </c>
    </row>
    <row r="455" customFormat="false" ht="13" hidden="false" customHeight="false" outlineLevel="0" collapsed="false">
      <c r="B455" s="10"/>
      <c r="C455" s="8"/>
      <c r="D455" s="12"/>
      <c r="E455" s="12"/>
      <c r="F455" s="8"/>
      <c r="G455" s="4" t="e">
        <f aca="false">G454+#REF!-F455</f>
        <v>#REF!</v>
      </c>
    </row>
    <row r="456" customFormat="false" ht="13" hidden="false" customHeight="false" outlineLevel="0" collapsed="false">
      <c r="B456" s="10"/>
      <c r="C456" s="8"/>
      <c r="D456" s="12"/>
      <c r="E456" s="12"/>
      <c r="F456" s="8"/>
      <c r="G456" s="4" t="e">
        <f aca="false">G455+#REF!-F456</f>
        <v>#REF!</v>
      </c>
    </row>
    <row r="457" customFormat="false" ht="13" hidden="false" customHeight="false" outlineLevel="0" collapsed="false">
      <c r="B457" s="10"/>
      <c r="C457" s="8"/>
      <c r="D457" s="12"/>
      <c r="E457" s="12"/>
      <c r="F457" s="8"/>
      <c r="G457" s="4" t="e">
        <f aca="false">G456+#REF!-F457</f>
        <v>#REF!</v>
      </c>
    </row>
    <row r="458" customFormat="false" ht="13" hidden="false" customHeight="false" outlineLevel="0" collapsed="false">
      <c r="B458" s="10"/>
      <c r="C458" s="8"/>
      <c r="D458" s="12"/>
      <c r="E458" s="12"/>
      <c r="F458" s="8"/>
      <c r="G458" s="4" t="e">
        <f aca="false">G457+#REF!-F458</f>
        <v>#REF!</v>
      </c>
    </row>
    <row r="459" customFormat="false" ht="13" hidden="false" customHeight="false" outlineLevel="0" collapsed="false">
      <c r="B459" s="10"/>
      <c r="C459" s="8"/>
      <c r="D459" s="12"/>
      <c r="E459" s="12"/>
      <c r="F459" s="8"/>
      <c r="G459" s="4" t="e">
        <f aca="false">G458+#REF!-F459</f>
        <v>#REF!</v>
      </c>
    </row>
    <row r="460" customFormat="false" ht="13" hidden="false" customHeight="false" outlineLevel="0" collapsed="false">
      <c r="B460" s="10"/>
      <c r="C460" s="8"/>
      <c r="D460" s="12"/>
      <c r="E460" s="12"/>
      <c r="F460" s="8"/>
      <c r="G460" s="4" t="e">
        <f aca="false">G459+#REF!-F460</f>
        <v>#REF!</v>
      </c>
    </row>
    <row r="461" customFormat="false" ht="13" hidden="false" customHeight="false" outlineLevel="0" collapsed="false">
      <c r="B461" s="10"/>
      <c r="C461" s="8"/>
      <c r="D461" s="12"/>
      <c r="E461" s="12"/>
      <c r="F461" s="8"/>
      <c r="G461" s="4" t="e">
        <f aca="false">G460+#REF!-F461</f>
        <v>#REF!</v>
      </c>
    </row>
    <row r="462" customFormat="false" ht="13" hidden="false" customHeight="false" outlineLevel="0" collapsed="false">
      <c r="B462" s="10"/>
      <c r="C462" s="8"/>
      <c r="D462" s="12"/>
      <c r="E462" s="12"/>
      <c r="F462" s="8"/>
      <c r="G462" s="4" t="e">
        <f aca="false">G461+#REF!-F462</f>
        <v>#REF!</v>
      </c>
    </row>
    <row r="463" customFormat="false" ht="13" hidden="false" customHeight="false" outlineLevel="0" collapsed="false">
      <c r="B463" s="10"/>
      <c r="C463" s="8"/>
      <c r="D463" s="12"/>
      <c r="E463" s="12"/>
      <c r="F463" s="8"/>
      <c r="G463" s="4" t="e">
        <f aca="false">G462+#REF!-F463</f>
        <v>#REF!</v>
      </c>
    </row>
    <row r="464" customFormat="false" ht="13" hidden="false" customHeight="false" outlineLevel="0" collapsed="false">
      <c r="B464" s="10"/>
      <c r="C464" s="8"/>
      <c r="D464" s="12"/>
      <c r="E464" s="12"/>
      <c r="F464" s="8"/>
      <c r="G464" s="4" t="e">
        <f aca="false">G463+#REF!-F464</f>
        <v>#REF!</v>
      </c>
    </row>
    <row r="465" customFormat="false" ht="13" hidden="false" customHeight="false" outlineLevel="0" collapsed="false">
      <c r="B465" s="10"/>
      <c r="C465" s="8"/>
      <c r="D465" s="12"/>
      <c r="E465" s="12"/>
      <c r="F465" s="8"/>
      <c r="G465" s="4" t="e">
        <f aca="false">G464+#REF!-F465</f>
        <v>#REF!</v>
      </c>
    </row>
    <row r="466" customFormat="false" ht="13" hidden="false" customHeight="false" outlineLevel="0" collapsed="false">
      <c r="B466" s="10"/>
      <c r="C466" s="8"/>
      <c r="D466" s="12"/>
      <c r="E466" s="12"/>
      <c r="F466" s="16"/>
      <c r="G466" s="4" t="e">
        <f aca="false">G465+#REF!-F466</f>
        <v>#REF!</v>
      </c>
    </row>
    <row r="467" customFormat="false" ht="13" hidden="false" customHeight="false" outlineLevel="0" collapsed="false">
      <c r="B467" s="10"/>
      <c r="C467" s="8"/>
      <c r="D467" s="12"/>
      <c r="E467" s="12"/>
      <c r="F467" s="8"/>
      <c r="G467" s="4" t="e">
        <f aca="false">G466+#REF!-F467</f>
        <v>#REF!</v>
      </c>
    </row>
    <row r="468" customFormat="false" ht="13" hidden="false" customHeight="false" outlineLevel="0" collapsed="false">
      <c r="B468" s="10"/>
      <c r="C468" s="8"/>
      <c r="D468" s="12"/>
      <c r="E468" s="12"/>
      <c r="F468" s="8"/>
      <c r="G468" s="4" t="e">
        <f aca="false">G467+#REF!-F468</f>
        <v>#REF!</v>
      </c>
    </row>
    <row r="469" customFormat="false" ht="13" hidden="false" customHeight="false" outlineLevel="0" collapsed="false">
      <c r="B469" s="10"/>
      <c r="C469" s="8"/>
      <c r="D469" s="12"/>
      <c r="E469" s="12"/>
      <c r="F469" s="8"/>
      <c r="G469" s="4" t="e">
        <f aca="false">G468+#REF!-F469</f>
        <v>#REF!</v>
      </c>
    </row>
    <row r="470" customFormat="false" ht="13" hidden="false" customHeight="false" outlineLevel="0" collapsed="false">
      <c r="B470" s="10"/>
      <c r="C470" s="8"/>
      <c r="D470" s="12"/>
      <c r="E470" s="12"/>
      <c r="F470" s="8"/>
      <c r="G470" s="4" t="e">
        <f aca="false">G469+#REF!-F470</f>
        <v>#REF!</v>
      </c>
    </row>
    <row r="471" customFormat="false" ht="13" hidden="false" customHeight="false" outlineLevel="0" collapsed="false">
      <c r="B471" s="10"/>
      <c r="C471" s="8"/>
      <c r="D471" s="12"/>
      <c r="E471" s="12"/>
      <c r="F471" s="8"/>
      <c r="G471" s="4"/>
    </row>
    <row r="472" customFormat="false" ht="13" hidden="false" customHeight="false" outlineLevel="0" collapsed="false">
      <c r="B472" s="10"/>
      <c r="C472" s="8"/>
      <c r="D472" s="12"/>
      <c r="E472" s="12"/>
      <c r="F472" s="8"/>
      <c r="G472" s="4"/>
    </row>
    <row r="473" customFormat="false" ht="13" hidden="false" customHeight="false" outlineLevel="0" collapsed="false">
      <c r="B473" s="10"/>
      <c r="C473" s="8"/>
      <c r="D473" s="12"/>
      <c r="E473" s="12"/>
      <c r="F473" s="8"/>
      <c r="G473" s="4"/>
    </row>
    <row r="474" customFormat="false" ht="13" hidden="false" customHeight="false" outlineLevel="0" collapsed="false">
      <c r="B474" s="10"/>
      <c r="C474" s="8"/>
      <c r="D474" s="12"/>
      <c r="E474" s="12"/>
      <c r="F474" s="8"/>
      <c r="G474" s="4"/>
    </row>
    <row r="475" customFormat="false" ht="13" hidden="false" customHeight="false" outlineLevel="0" collapsed="false">
      <c r="B475" s="29"/>
      <c r="C475" s="30"/>
      <c r="D475" s="12"/>
      <c r="E475" s="12"/>
      <c r="F475" s="31"/>
      <c r="G475" s="32"/>
    </row>
    <row r="476" customFormat="false" ht="13" hidden="false" customHeight="false" outlineLevel="0" collapsed="false">
      <c r="B476" s="29"/>
      <c r="C476" s="30"/>
      <c r="D476" s="12"/>
      <c r="E476" s="12"/>
      <c r="F476" s="31"/>
      <c r="G476" s="32"/>
    </row>
    <row r="477" customFormat="false" ht="13" hidden="false" customHeight="false" outlineLevel="0" collapsed="false">
      <c r="B477" s="29"/>
      <c r="C477" s="30"/>
      <c r="D477" s="15"/>
      <c r="E477" s="15"/>
      <c r="F477" s="33"/>
      <c r="G477" s="32"/>
    </row>
    <row r="478" customFormat="false" ht="13" hidden="false" customHeight="false" outlineLevel="0" collapsed="false">
      <c r="B478" s="29"/>
      <c r="C478" s="30"/>
      <c r="D478" s="15"/>
      <c r="E478" s="15"/>
      <c r="F478" s="33"/>
      <c r="G478" s="32"/>
    </row>
    <row r="479" customFormat="false" ht="13" hidden="false" customHeight="false" outlineLevel="0" collapsed="false">
      <c r="B479" s="29"/>
      <c r="C479" s="30"/>
      <c r="D479" s="15"/>
      <c r="E479" s="15"/>
      <c r="F479" s="33"/>
      <c r="G479" s="32"/>
    </row>
    <row r="480" customFormat="false" ht="13" hidden="false" customHeight="false" outlineLevel="0" collapsed="false">
      <c r="B480" s="29"/>
      <c r="C480" s="30"/>
      <c r="D480" s="12"/>
      <c r="E480" s="12"/>
      <c r="F480" s="31"/>
      <c r="G480" s="32"/>
    </row>
    <row r="481" customFormat="false" ht="13" hidden="false" customHeight="false" outlineLevel="0" collapsed="false">
      <c r="B481" s="29"/>
      <c r="C481" s="30"/>
      <c r="D481" s="12"/>
      <c r="E481" s="12"/>
      <c r="F481" s="31"/>
      <c r="G481" s="32"/>
    </row>
    <row r="482" customFormat="false" ht="13" hidden="false" customHeight="false" outlineLevel="0" collapsed="false">
      <c r="B482" s="29"/>
      <c r="C482" s="30"/>
      <c r="D482" s="15"/>
      <c r="E482" s="15"/>
      <c r="F482" s="31"/>
      <c r="G482" s="32"/>
    </row>
    <row r="483" customFormat="false" ht="13" hidden="false" customHeight="false" outlineLevel="0" collapsed="false">
      <c r="B483" s="29"/>
      <c r="C483" s="30"/>
      <c r="D483" s="12"/>
      <c r="E483" s="12"/>
      <c r="F483" s="31"/>
      <c r="G483" s="32"/>
    </row>
    <row r="484" customFormat="false" ht="13" hidden="false" customHeight="false" outlineLevel="0" collapsed="false">
      <c r="B484" s="29"/>
      <c r="C484" s="30"/>
      <c r="D484" s="12"/>
      <c r="E484" s="12"/>
      <c r="F484" s="31"/>
      <c r="G484" s="32"/>
    </row>
    <row r="485" customFormat="false" ht="13" hidden="false" customHeight="false" outlineLevel="0" collapsed="false">
      <c r="B485" s="29"/>
      <c r="C485" s="30"/>
      <c r="D485" s="12"/>
      <c r="E485" s="12"/>
      <c r="F485" s="31"/>
      <c r="G485" s="32"/>
    </row>
    <row r="486" customFormat="false" ht="13" hidden="false" customHeight="false" outlineLevel="0" collapsed="false">
      <c r="B486" s="29"/>
      <c r="C486" s="30"/>
      <c r="D486" s="12"/>
      <c r="E486" s="12"/>
      <c r="F486" s="31"/>
      <c r="G486" s="32"/>
    </row>
    <row r="487" customFormat="false" ht="13" hidden="false" customHeight="false" outlineLevel="0" collapsed="false">
      <c r="B487" s="29"/>
      <c r="C487" s="30"/>
      <c r="D487" s="12"/>
      <c r="E487" s="12"/>
      <c r="F487" s="31"/>
      <c r="G487" s="32"/>
    </row>
    <row r="488" customFormat="false" ht="13" hidden="false" customHeight="false" outlineLevel="0" collapsed="false">
      <c r="B488" s="29"/>
      <c r="C488" s="30"/>
      <c r="D488" s="12"/>
      <c r="E488" s="12"/>
      <c r="F488" s="31"/>
      <c r="G488" s="32"/>
    </row>
    <row r="489" customFormat="false" ht="13" hidden="false" customHeight="false" outlineLevel="0" collapsed="false">
      <c r="B489" s="29"/>
      <c r="C489" s="30"/>
      <c r="D489" s="12"/>
      <c r="E489" s="12"/>
      <c r="F489" s="31"/>
      <c r="G489" s="32"/>
    </row>
    <row r="490" customFormat="false" ht="13" hidden="false" customHeight="false" outlineLevel="0" collapsed="false">
      <c r="B490" s="29"/>
      <c r="C490" s="30"/>
      <c r="D490" s="12"/>
      <c r="E490" s="12"/>
      <c r="F490" s="31"/>
      <c r="G490" s="32"/>
    </row>
    <row r="491" customFormat="false" ht="13" hidden="false" customHeight="false" outlineLevel="0" collapsed="false">
      <c r="B491" s="29"/>
      <c r="C491" s="30"/>
      <c r="D491" s="12"/>
      <c r="E491" s="12"/>
      <c r="F491" s="31"/>
      <c r="G491" s="32"/>
    </row>
    <row r="492" customFormat="false" ht="13" hidden="false" customHeight="false" outlineLevel="0" collapsed="false">
      <c r="B492" s="29"/>
      <c r="C492" s="30"/>
      <c r="D492" s="12"/>
      <c r="E492" s="12"/>
      <c r="F492" s="31"/>
      <c r="G492" s="32"/>
    </row>
    <row r="493" customFormat="false" ht="13" hidden="false" customHeight="false" outlineLevel="0" collapsed="false">
      <c r="B493" s="29"/>
      <c r="C493" s="30"/>
      <c r="D493" s="12"/>
      <c r="E493" s="12"/>
      <c r="F493" s="31"/>
      <c r="G493" s="32"/>
    </row>
    <row r="494" customFormat="false" ht="13" hidden="false" customHeight="false" outlineLevel="0" collapsed="false">
      <c r="B494" s="29"/>
      <c r="C494" s="30"/>
      <c r="D494" s="12"/>
      <c r="E494" s="12"/>
      <c r="F494" s="31"/>
      <c r="G494" s="32"/>
    </row>
    <row r="495" customFormat="false" ht="13" hidden="false" customHeight="false" outlineLevel="0" collapsed="false">
      <c r="B495" s="29"/>
      <c r="C495" s="30"/>
      <c r="D495" s="12"/>
      <c r="E495" s="12"/>
      <c r="F495" s="31"/>
      <c r="G495" s="32"/>
    </row>
    <row r="496" customFormat="false" ht="13" hidden="false" customHeight="false" outlineLevel="0" collapsed="false">
      <c r="B496" s="29"/>
      <c r="C496" s="30"/>
      <c r="D496" s="12"/>
      <c r="E496" s="12"/>
      <c r="F496" s="31"/>
      <c r="G496" s="32"/>
    </row>
    <row r="497" customFormat="false" ht="13" hidden="false" customHeight="false" outlineLevel="0" collapsed="false">
      <c r="B497" s="29"/>
      <c r="C497" s="30"/>
      <c r="D497" s="12"/>
      <c r="E497" s="12"/>
      <c r="F497" s="31"/>
      <c r="G497" s="32"/>
    </row>
    <row r="498" customFormat="false" ht="13" hidden="false" customHeight="false" outlineLevel="0" collapsed="false">
      <c r="B498" s="29"/>
      <c r="C498" s="30"/>
      <c r="D498" s="12"/>
      <c r="E498" s="12"/>
      <c r="F498" s="31"/>
      <c r="G498" s="32"/>
    </row>
    <row r="499" customFormat="false" ht="13" hidden="false" customHeight="false" outlineLevel="0" collapsed="false">
      <c r="B499" s="29"/>
      <c r="C499" s="30"/>
      <c r="D499" s="12"/>
      <c r="E499" s="12"/>
      <c r="F499" s="31"/>
      <c r="G499" s="32"/>
    </row>
    <row r="500" customFormat="false" ht="13" hidden="false" customHeight="false" outlineLevel="0" collapsed="false">
      <c r="B500" s="29"/>
      <c r="C500" s="30"/>
      <c r="D500" s="12"/>
      <c r="E500" s="12"/>
      <c r="F500" s="33"/>
      <c r="G500" s="32"/>
    </row>
    <row r="501" customFormat="false" ht="13" hidden="false" customHeight="false" outlineLevel="0" collapsed="false">
      <c r="B501" s="29"/>
      <c r="C501" s="30"/>
      <c r="D501" s="12"/>
      <c r="E501" s="12"/>
      <c r="F501" s="31"/>
      <c r="G501" s="32"/>
    </row>
    <row r="502" customFormat="false" ht="13" hidden="false" customHeight="false" outlineLevel="0" collapsed="false">
      <c r="B502" s="29"/>
      <c r="C502" s="30"/>
      <c r="D502" s="12"/>
      <c r="E502" s="12"/>
      <c r="F502" s="31"/>
      <c r="G502" s="32" t="e">
        <f aca="false">G501+#REF!-F502</f>
        <v>#REF!</v>
      </c>
    </row>
    <row r="503" customFormat="false" ht="13" hidden="false" customHeight="false" outlineLevel="0" collapsed="false">
      <c r="B503" s="29"/>
      <c r="C503" s="30"/>
      <c r="D503" s="12"/>
      <c r="E503" s="12"/>
      <c r="F503" s="31"/>
      <c r="G503" s="32" t="e">
        <f aca="false">G502+#REF!-F503</f>
        <v>#REF!</v>
      </c>
    </row>
    <row r="504" customFormat="false" ht="13" hidden="false" customHeight="false" outlineLevel="0" collapsed="false">
      <c r="B504" s="29"/>
      <c r="C504" s="30"/>
      <c r="D504" s="12"/>
      <c r="E504" s="12"/>
      <c r="F504" s="31"/>
      <c r="G504" s="32" t="e">
        <f aca="false">G503+#REF!-F504</f>
        <v>#REF!</v>
      </c>
    </row>
    <row r="505" customFormat="false" ht="13" hidden="false" customHeight="false" outlineLevel="0" collapsed="false">
      <c r="B505" s="29"/>
      <c r="C505" s="30"/>
      <c r="D505" s="12"/>
      <c r="E505" s="12"/>
      <c r="F505" s="31"/>
      <c r="G505" s="32" t="e">
        <f aca="false">G504+#REF!-F505</f>
        <v>#REF!</v>
      </c>
    </row>
    <row r="506" customFormat="false" ht="13" hidden="false" customHeight="false" outlineLevel="0" collapsed="false">
      <c r="B506" s="29"/>
      <c r="C506" s="30"/>
      <c r="D506" s="12"/>
      <c r="E506" s="12"/>
      <c r="F506" s="31"/>
      <c r="G506" s="32" t="e">
        <f aca="false">G505+#REF!-F506</f>
        <v>#REF!</v>
      </c>
    </row>
    <row r="507" customFormat="false" ht="13" hidden="false" customHeight="false" outlineLevel="0" collapsed="false">
      <c r="B507" s="29"/>
      <c r="C507" s="30"/>
      <c r="D507" s="12"/>
      <c r="E507" s="12"/>
      <c r="F507" s="31"/>
      <c r="G507" s="32" t="e">
        <f aca="false">G506+#REF!-F507</f>
        <v>#REF!</v>
      </c>
    </row>
    <row r="508" customFormat="false" ht="13" hidden="false" customHeight="false" outlineLevel="0" collapsed="false">
      <c r="B508" s="29"/>
      <c r="C508" s="30"/>
      <c r="D508" s="12"/>
      <c r="E508" s="12"/>
      <c r="F508" s="31"/>
      <c r="G508" s="32" t="e">
        <f aca="false">G507+#REF!-F508</f>
        <v>#REF!</v>
      </c>
    </row>
    <row r="509" customFormat="false" ht="13" hidden="false" customHeight="false" outlineLevel="0" collapsed="false">
      <c r="B509" s="29"/>
      <c r="C509" s="30"/>
      <c r="D509" s="12"/>
      <c r="E509" s="12"/>
      <c r="F509" s="31"/>
      <c r="G509" s="32" t="e">
        <f aca="false">G508+#REF!-F509</f>
        <v>#REF!</v>
      </c>
    </row>
    <row r="510" customFormat="false" ht="13" hidden="false" customHeight="false" outlineLevel="0" collapsed="false">
      <c r="B510" s="29"/>
      <c r="C510" s="30"/>
      <c r="D510" s="12"/>
      <c r="E510" s="12"/>
      <c r="F510" s="31"/>
      <c r="G510" s="32" t="e">
        <f aca="false">G509+#REF!-F510</f>
        <v>#REF!</v>
      </c>
    </row>
    <row r="511" customFormat="false" ht="13" hidden="false" customHeight="false" outlineLevel="0" collapsed="false">
      <c r="B511" s="29"/>
      <c r="C511" s="30"/>
      <c r="D511" s="12"/>
      <c r="E511" s="12"/>
      <c r="F511" s="31"/>
      <c r="G511" s="32" t="e">
        <f aca="false">G510+#REF!-F511</f>
        <v>#REF!</v>
      </c>
    </row>
    <row r="512" customFormat="false" ht="13" hidden="false" customHeight="false" outlineLevel="0" collapsed="false">
      <c r="B512" s="29"/>
      <c r="C512" s="30"/>
      <c r="D512" s="12"/>
      <c r="E512" s="12"/>
      <c r="F512" s="31"/>
      <c r="G512" s="32" t="e">
        <f aca="false">G511+#REF!-F512</f>
        <v>#REF!</v>
      </c>
    </row>
    <row r="513" customFormat="false" ht="13" hidden="false" customHeight="false" outlineLevel="0" collapsed="false">
      <c r="B513" s="29"/>
      <c r="C513" s="30"/>
      <c r="D513" s="12"/>
      <c r="E513" s="12"/>
      <c r="F513" s="31"/>
      <c r="G513" s="32" t="e">
        <f aca="false">G512+#REF!-F513</f>
        <v>#REF!</v>
      </c>
    </row>
    <row r="514" customFormat="false" ht="13" hidden="false" customHeight="false" outlineLevel="0" collapsed="false">
      <c r="B514" s="29"/>
      <c r="C514" s="30"/>
      <c r="D514" s="12"/>
      <c r="E514" s="12"/>
      <c r="F514" s="31"/>
      <c r="G514" s="32" t="e">
        <f aca="false">G513+#REF!-F514</f>
        <v>#REF!</v>
      </c>
    </row>
    <row r="515" customFormat="false" ht="13" hidden="false" customHeight="false" outlineLevel="0" collapsed="false">
      <c r="B515" s="29"/>
      <c r="C515" s="29"/>
      <c r="D515" s="34"/>
      <c r="E515" s="34"/>
      <c r="F515" s="31"/>
      <c r="G515" s="32" t="e">
        <f aca="false">G514+#REF!-F515</f>
        <v>#REF!</v>
      </c>
    </row>
    <row r="516" customFormat="false" ht="13" hidden="false" customHeight="false" outlineLevel="0" collapsed="false">
      <c r="B516" s="29"/>
      <c r="C516" s="29"/>
      <c r="D516" s="34"/>
      <c r="E516" s="34"/>
      <c r="F516" s="31"/>
      <c r="G516" s="32" t="e">
        <f aca="false">G515+#REF!-F516</f>
        <v>#REF!</v>
      </c>
    </row>
    <row r="517" customFormat="false" ht="13" hidden="false" customHeight="false" outlineLevel="0" collapsed="false">
      <c r="B517" s="29"/>
      <c r="C517" s="29"/>
      <c r="D517" s="34"/>
      <c r="E517" s="34"/>
      <c r="F517" s="31"/>
      <c r="G517" s="32" t="e">
        <f aca="false">G516+#REF!-F517</f>
        <v>#REF!</v>
      </c>
    </row>
    <row r="518" customFormat="false" ht="13" hidden="false" customHeight="false" outlineLevel="0" collapsed="false">
      <c r="B518" s="29"/>
      <c r="C518" s="29"/>
      <c r="D518" s="34"/>
      <c r="E518" s="34"/>
      <c r="F518" s="31"/>
      <c r="G518" s="32" t="e">
        <f aca="false">G517+#REF!-F518</f>
        <v>#REF!</v>
      </c>
    </row>
    <row r="519" customFormat="false" ht="13" hidden="false" customHeight="false" outlineLevel="0" collapsed="false">
      <c r="B519" s="29"/>
      <c r="C519" s="29"/>
      <c r="D519" s="34"/>
      <c r="E519" s="34"/>
      <c r="F519" s="31"/>
      <c r="G519" s="32" t="e">
        <f aca="false">G518+#REF!-F519</f>
        <v>#REF!</v>
      </c>
    </row>
    <row r="520" customFormat="false" ht="13" hidden="false" customHeight="false" outlineLevel="0" collapsed="false">
      <c r="B520" s="29"/>
      <c r="C520" s="29"/>
      <c r="D520" s="34"/>
      <c r="E520" s="34"/>
      <c r="F520" s="31"/>
      <c r="G520" s="32" t="e">
        <f aca="false">G519+#REF!-F520</f>
        <v>#REF!</v>
      </c>
    </row>
    <row r="521" customFormat="false" ht="13" hidden="false" customHeight="false" outlineLevel="0" collapsed="false">
      <c r="B521" s="29"/>
      <c r="C521" s="29"/>
      <c r="D521" s="34"/>
      <c r="E521" s="34"/>
      <c r="F521" s="31"/>
      <c r="G521" s="32" t="e">
        <f aca="false">G520+#REF!-F521</f>
        <v>#REF!</v>
      </c>
    </row>
    <row r="522" customFormat="false" ht="13" hidden="false" customHeight="false" outlineLevel="0" collapsed="false">
      <c r="B522" s="29"/>
      <c r="C522" s="30"/>
      <c r="D522" s="12"/>
      <c r="E522" s="12"/>
      <c r="F522" s="31"/>
      <c r="G522" s="32" t="e">
        <f aca="false">G521+#REF!-F522</f>
        <v>#REF!</v>
      </c>
    </row>
    <row r="523" customFormat="false" ht="13" hidden="false" customHeight="false" outlineLevel="0" collapsed="false">
      <c r="B523" s="29"/>
      <c r="C523" s="30"/>
      <c r="D523" s="12"/>
      <c r="E523" s="12"/>
      <c r="F523" s="31"/>
      <c r="G523" s="32" t="e">
        <f aca="false">G522+#REF!-F523</f>
        <v>#REF!</v>
      </c>
    </row>
    <row r="524" customFormat="false" ht="13" hidden="false" customHeight="false" outlineLevel="0" collapsed="false">
      <c r="B524" s="29"/>
      <c r="C524" s="30"/>
      <c r="D524" s="12"/>
      <c r="E524" s="12"/>
      <c r="F524" s="31"/>
      <c r="G524" s="32" t="e">
        <f aca="false">G523+#REF!-F524</f>
        <v>#REF!</v>
      </c>
    </row>
    <row r="525" customFormat="false" ht="13" hidden="false" customHeight="false" outlineLevel="0" collapsed="false">
      <c r="B525" s="29"/>
      <c r="C525" s="30"/>
      <c r="D525" s="15"/>
      <c r="E525" s="15"/>
      <c r="F525" s="31"/>
      <c r="G525" s="32" t="e">
        <f aca="false">G524+#REF!-F525</f>
        <v>#REF!</v>
      </c>
    </row>
    <row r="526" customFormat="false" ht="13" hidden="false" customHeight="false" outlineLevel="0" collapsed="false">
      <c r="B526" s="29"/>
      <c r="C526" s="30"/>
      <c r="D526" s="12"/>
      <c r="E526" s="12"/>
      <c r="F526" s="31"/>
      <c r="G526" s="32" t="e">
        <f aca="false">G525+#REF!-F526</f>
        <v>#REF!</v>
      </c>
    </row>
    <row r="527" customFormat="false" ht="13" hidden="false" customHeight="false" outlineLevel="0" collapsed="false">
      <c r="B527" s="29"/>
      <c r="C527" s="30"/>
      <c r="D527" s="12"/>
      <c r="E527" s="12"/>
      <c r="F527" s="31"/>
      <c r="G527" s="32" t="e">
        <f aca="false">G526+#REF!-F527</f>
        <v>#REF!</v>
      </c>
    </row>
    <row r="528" customFormat="false" ht="13" hidden="false" customHeight="false" outlineLevel="0" collapsed="false">
      <c r="B528" s="29"/>
      <c r="C528" s="30"/>
      <c r="D528" s="12"/>
      <c r="E528" s="12"/>
      <c r="F528" s="31"/>
      <c r="G528" s="32" t="e">
        <f aca="false">G527+#REF!-F528</f>
        <v>#REF!</v>
      </c>
    </row>
    <row r="529" customFormat="false" ht="13" hidden="false" customHeight="false" outlineLevel="0" collapsed="false">
      <c r="B529" s="29"/>
      <c r="C529" s="30"/>
      <c r="D529" s="12"/>
      <c r="E529" s="12"/>
      <c r="F529" s="31"/>
      <c r="G529" s="32" t="e">
        <f aca="false">G528+#REF!-F529</f>
        <v>#REF!</v>
      </c>
    </row>
    <row r="530" customFormat="false" ht="13" hidden="false" customHeight="false" outlineLevel="0" collapsed="false">
      <c r="B530" s="29"/>
      <c r="C530" s="30"/>
      <c r="D530" s="12"/>
      <c r="E530" s="12"/>
      <c r="F530" s="31"/>
      <c r="G530" s="32" t="e">
        <f aca="false">G529+#REF!-F530</f>
        <v>#REF!</v>
      </c>
    </row>
    <row r="531" customFormat="false" ht="13" hidden="false" customHeight="false" outlineLevel="0" collapsed="false">
      <c r="B531" s="29"/>
      <c r="C531" s="30"/>
      <c r="D531" s="15"/>
      <c r="E531" s="15"/>
      <c r="F531" s="33"/>
      <c r="G531" s="32" t="e">
        <f aca="false">G530+#REF!-F531</f>
        <v>#REF!</v>
      </c>
      <c r="H531" s="23"/>
      <c r="I531" s="23"/>
    </row>
    <row r="532" customFormat="false" ht="13" hidden="false" customHeight="false" outlineLevel="0" collapsed="false">
      <c r="B532" s="29"/>
      <c r="C532" s="30"/>
      <c r="D532" s="12"/>
      <c r="E532" s="12"/>
      <c r="F532" s="31"/>
      <c r="G532" s="32" t="e">
        <f aca="false">G531+#REF!-F532</f>
        <v>#REF!</v>
      </c>
    </row>
    <row r="533" customFormat="false" ht="13" hidden="false" customHeight="false" outlineLevel="0" collapsed="false">
      <c r="B533" s="29"/>
      <c r="C533" s="30"/>
      <c r="D533" s="15"/>
      <c r="E533" s="15"/>
      <c r="F533" s="33"/>
      <c r="G533" s="32" t="e">
        <f aca="false">G532+#REF!-F533</f>
        <v>#REF!</v>
      </c>
    </row>
    <row r="534" customFormat="false" ht="13" hidden="false" customHeight="false" outlineLevel="0" collapsed="false">
      <c r="B534" s="29"/>
      <c r="C534" s="30"/>
      <c r="D534" s="12"/>
      <c r="E534" s="12"/>
      <c r="F534" s="31"/>
      <c r="G534" s="32" t="e">
        <f aca="false">G533+#REF!-F534</f>
        <v>#REF!</v>
      </c>
    </row>
    <row r="535" customFormat="false" ht="13" hidden="false" customHeight="false" outlineLevel="0" collapsed="false">
      <c r="B535" s="29"/>
      <c r="C535" s="30"/>
      <c r="D535" s="12"/>
      <c r="E535" s="12"/>
      <c r="F535" s="31"/>
      <c r="G535" s="32" t="e">
        <f aca="false">G534+#REF!-F535</f>
        <v>#REF!</v>
      </c>
    </row>
    <row r="536" customFormat="false" ht="13" hidden="false" customHeight="false" outlineLevel="0" collapsed="false">
      <c r="B536" s="29"/>
      <c r="C536" s="30"/>
      <c r="D536" s="12"/>
      <c r="E536" s="12"/>
      <c r="F536" s="31"/>
      <c r="G536" s="32" t="e">
        <f aca="false">G535+#REF!-F536</f>
        <v>#REF!</v>
      </c>
    </row>
    <row r="537" customFormat="false" ht="13" hidden="false" customHeight="false" outlineLevel="0" collapsed="false">
      <c r="B537" s="29"/>
      <c r="C537" s="30"/>
      <c r="D537" s="12"/>
      <c r="E537" s="12"/>
      <c r="F537" s="31"/>
      <c r="G537" s="32" t="e">
        <f aca="false">G536+#REF!-F537</f>
        <v>#REF!</v>
      </c>
    </row>
    <row r="538" customFormat="false" ht="13" hidden="false" customHeight="false" outlineLevel="0" collapsed="false">
      <c r="B538" s="29"/>
      <c r="C538" s="30"/>
      <c r="D538" s="12"/>
      <c r="E538" s="12"/>
      <c r="F538" s="31"/>
      <c r="G538" s="32" t="e">
        <f aca="false">G537+#REF!-F538</f>
        <v>#REF!</v>
      </c>
    </row>
    <row r="539" customFormat="false" ht="13" hidden="false" customHeight="false" outlineLevel="0" collapsed="false">
      <c r="B539" s="29"/>
      <c r="C539" s="30"/>
      <c r="D539" s="12"/>
      <c r="E539" s="12"/>
      <c r="F539" s="31"/>
      <c r="G539" s="32" t="e">
        <f aca="false">G538+#REF!-F539</f>
        <v>#REF!</v>
      </c>
    </row>
    <row r="540" customFormat="false" ht="13" hidden="false" customHeight="false" outlineLevel="0" collapsed="false">
      <c r="B540" s="29"/>
      <c r="C540" s="30"/>
      <c r="D540" s="12"/>
      <c r="E540" s="12"/>
      <c r="F540" s="31"/>
      <c r="G540" s="32" t="e">
        <f aca="false">G539+#REF!-F540</f>
        <v>#REF!</v>
      </c>
    </row>
    <row r="541" customFormat="false" ht="13" hidden="false" customHeight="false" outlineLevel="0" collapsed="false">
      <c r="B541" s="29"/>
      <c r="C541" s="30"/>
      <c r="D541" s="12"/>
      <c r="E541" s="12"/>
      <c r="F541" s="31"/>
      <c r="G541" s="32" t="e">
        <f aca="false">G540+#REF!-F541</f>
        <v>#REF!</v>
      </c>
    </row>
    <row r="542" customFormat="false" ht="13" hidden="false" customHeight="false" outlineLevel="0" collapsed="false">
      <c r="B542" s="29"/>
      <c r="C542" s="30"/>
      <c r="D542" s="12"/>
      <c r="E542" s="12"/>
      <c r="F542" s="31"/>
      <c r="G542" s="32" t="e">
        <f aca="false">G541+#REF!-F542</f>
        <v>#REF!</v>
      </c>
    </row>
    <row r="543" customFormat="false" ht="13" hidden="false" customHeight="false" outlineLevel="0" collapsed="false">
      <c r="B543" s="29"/>
      <c r="C543" s="30"/>
      <c r="D543" s="12"/>
      <c r="E543" s="12"/>
      <c r="F543" s="31"/>
      <c r="G543" s="32" t="e">
        <f aca="false">G542+#REF!-F543</f>
        <v>#REF!</v>
      </c>
    </row>
    <row r="544" customFormat="false" ht="13" hidden="false" customHeight="false" outlineLevel="0" collapsed="false">
      <c r="B544" s="29"/>
      <c r="C544" s="30"/>
      <c r="D544" s="12"/>
      <c r="E544" s="12"/>
      <c r="F544" s="31"/>
      <c r="G544" s="32" t="e">
        <f aca="false">G543+#REF!-F544</f>
        <v>#REF!</v>
      </c>
    </row>
    <row r="545" customFormat="false" ht="13" hidden="false" customHeight="false" outlineLevel="0" collapsed="false">
      <c r="B545" s="29"/>
      <c r="C545" s="30"/>
      <c r="D545" s="12"/>
      <c r="E545" s="12"/>
      <c r="F545" s="31"/>
      <c r="G545" s="32" t="e">
        <f aca="false">G544+#REF!-F545</f>
        <v>#REF!</v>
      </c>
    </row>
    <row r="546" customFormat="false" ht="13" hidden="false" customHeight="false" outlineLevel="0" collapsed="false">
      <c r="B546" s="29"/>
      <c r="C546" s="30"/>
      <c r="D546" s="15"/>
      <c r="E546" s="15"/>
      <c r="F546" s="33"/>
      <c r="G546" s="32" t="e">
        <f aca="false">G545+#REF!-F546</f>
        <v>#REF!</v>
      </c>
    </row>
    <row r="547" customFormat="false" ht="13" hidden="false" customHeight="false" outlineLevel="0" collapsed="false">
      <c r="B547" s="29"/>
      <c r="C547" s="30"/>
      <c r="D547" s="15"/>
      <c r="E547" s="15"/>
      <c r="F547" s="33"/>
      <c r="G547" s="32" t="e">
        <f aca="false">G546+#REF!-F547</f>
        <v>#REF!</v>
      </c>
    </row>
    <row r="548" customFormat="false" ht="13" hidden="false" customHeight="false" outlineLevel="0" collapsed="false">
      <c r="B548" s="29"/>
      <c r="C548" s="30"/>
      <c r="D548" s="15"/>
      <c r="E548" s="15"/>
      <c r="F548" s="33"/>
      <c r="G548" s="32" t="e">
        <f aca="false">G547+#REF!-F548</f>
        <v>#REF!</v>
      </c>
    </row>
    <row r="549" customFormat="false" ht="13" hidden="false" customHeight="false" outlineLevel="0" collapsed="false">
      <c r="B549" s="29"/>
      <c r="C549" s="30"/>
      <c r="D549" s="15"/>
      <c r="E549" s="15"/>
      <c r="F549" s="33"/>
      <c r="G549" s="32" t="e">
        <f aca="false">G548+#REF!-F549</f>
        <v>#REF!</v>
      </c>
    </row>
    <row r="550" customFormat="false" ht="13" hidden="false" customHeight="false" outlineLevel="0" collapsed="false">
      <c r="B550" s="29"/>
      <c r="C550" s="30"/>
      <c r="D550" s="15"/>
      <c r="E550" s="15"/>
      <c r="F550" s="33"/>
      <c r="G550" s="32" t="e">
        <f aca="false">G549+#REF!-F550</f>
        <v>#REF!</v>
      </c>
    </row>
    <row r="551" customFormat="false" ht="13" hidden="false" customHeight="false" outlineLevel="0" collapsed="false">
      <c r="B551" s="29"/>
      <c r="C551" s="30"/>
      <c r="D551" s="15"/>
      <c r="E551" s="15"/>
      <c r="F551" s="33"/>
      <c r="G551" s="32" t="e">
        <f aca="false">G550+#REF!-F551</f>
        <v>#REF!</v>
      </c>
    </row>
    <row r="552" customFormat="false" ht="13" hidden="false" customHeight="false" outlineLevel="0" collapsed="false">
      <c r="B552" s="29"/>
      <c r="C552" s="30"/>
      <c r="D552" s="15"/>
      <c r="E552" s="15"/>
      <c r="F552" s="33"/>
      <c r="G552" s="32" t="e">
        <f aca="false">G551+#REF!-F552</f>
        <v>#REF!</v>
      </c>
    </row>
    <row r="553" customFormat="false" ht="13" hidden="false" customHeight="false" outlineLevel="0" collapsed="false">
      <c r="B553" s="29"/>
      <c r="C553" s="30"/>
      <c r="D553" s="15"/>
      <c r="E553" s="15"/>
      <c r="F553" s="33"/>
      <c r="G553" s="32" t="e">
        <f aca="false">G552+#REF!-F553</f>
        <v>#REF!</v>
      </c>
    </row>
    <row r="554" customFormat="false" ht="13" hidden="false" customHeight="false" outlineLevel="0" collapsed="false">
      <c r="B554" s="29"/>
      <c r="C554" s="30"/>
      <c r="D554" s="15"/>
      <c r="E554" s="15"/>
      <c r="F554" s="33"/>
      <c r="G554" s="32" t="e">
        <f aca="false">G553+#REF!-F554</f>
        <v>#REF!</v>
      </c>
    </row>
    <row r="555" customFormat="false" ht="13" hidden="false" customHeight="false" outlineLevel="0" collapsed="false">
      <c r="B555" s="29"/>
      <c r="C555" s="30"/>
      <c r="D555" s="15"/>
      <c r="E555" s="15"/>
      <c r="F555" s="33"/>
      <c r="G555" s="32" t="e">
        <f aca="false">G554+#REF!-F555</f>
        <v>#REF!</v>
      </c>
    </row>
    <row r="556" customFormat="false" ht="13" hidden="false" customHeight="false" outlineLevel="0" collapsed="false">
      <c r="B556" s="29"/>
      <c r="C556" s="30"/>
      <c r="D556" s="15"/>
      <c r="E556" s="15"/>
      <c r="F556" s="33"/>
      <c r="G556" s="32" t="e">
        <f aca="false">G555+#REF!-F556</f>
        <v>#REF!</v>
      </c>
    </row>
    <row r="557" customFormat="false" ht="13" hidden="false" customHeight="false" outlineLevel="0" collapsed="false">
      <c r="B557" s="29"/>
      <c r="C557" s="30"/>
      <c r="D557" s="15"/>
      <c r="E557" s="15"/>
      <c r="F557" s="33"/>
      <c r="G557" s="32" t="e">
        <f aca="false">G556+#REF!-F557</f>
        <v>#REF!</v>
      </c>
    </row>
    <row r="558" customFormat="false" ht="13" hidden="false" customHeight="false" outlineLevel="0" collapsed="false">
      <c r="B558" s="29"/>
      <c r="C558" s="30"/>
      <c r="D558" s="12"/>
      <c r="E558" s="12"/>
      <c r="F558" s="33"/>
      <c r="G558" s="32" t="e">
        <f aca="false">G557+#REF!-F558</f>
        <v>#REF!</v>
      </c>
    </row>
    <row r="559" customFormat="false" ht="13" hidden="false" customHeight="false" outlineLevel="0" collapsed="false">
      <c r="B559" s="29"/>
      <c r="C559" s="30"/>
      <c r="D559" s="12"/>
      <c r="E559" s="12"/>
      <c r="F559" s="31"/>
      <c r="G559" s="32" t="e">
        <f aca="false">G558+#REF!-F559</f>
        <v>#REF!</v>
      </c>
    </row>
    <row r="560" customFormat="false" ht="13" hidden="false" customHeight="false" outlineLevel="0" collapsed="false">
      <c r="B560" s="29"/>
      <c r="C560" s="30"/>
      <c r="D560" s="15"/>
      <c r="E560" s="15"/>
      <c r="F560" s="33"/>
      <c r="G560" s="32" t="e">
        <f aca="false">G559+#REF!-F560</f>
        <v>#REF!</v>
      </c>
    </row>
    <row r="561" customFormat="false" ht="13" hidden="false" customHeight="false" outlineLevel="0" collapsed="false">
      <c r="B561" s="29"/>
      <c r="C561" s="30"/>
      <c r="D561" s="12"/>
      <c r="E561" s="12"/>
      <c r="F561" s="31"/>
      <c r="G561" s="32" t="e">
        <f aca="false">G560+#REF!-F561</f>
        <v>#REF!</v>
      </c>
    </row>
    <row r="562" customFormat="false" ht="13" hidden="false" customHeight="false" outlineLevel="0" collapsed="false">
      <c r="B562" s="29"/>
      <c r="C562" s="30"/>
      <c r="D562" s="12"/>
      <c r="E562" s="12"/>
      <c r="F562" s="31"/>
      <c r="G562" s="32" t="e">
        <f aca="false">G561+#REF!-F562</f>
        <v>#REF!</v>
      </c>
    </row>
    <row r="563" customFormat="false" ht="13" hidden="false" customHeight="false" outlineLevel="0" collapsed="false">
      <c r="B563" s="29"/>
      <c r="C563" s="30"/>
      <c r="D563" s="15"/>
      <c r="E563" s="15"/>
      <c r="F563" s="33"/>
      <c r="G563" s="32" t="e">
        <f aca="false">G562+#REF!-F563</f>
        <v>#REF!</v>
      </c>
    </row>
    <row r="564" customFormat="false" ht="13" hidden="false" customHeight="false" outlineLevel="0" collapsed="false">
      <c r="B564" s="29"/>
      <c r="C564" s="30"/>
      <c r="D564" s="12"/>
      <c r="E564" s="12"/>
      <c r="F564" s="31"/>
      <c r="G564" s="32" t="e">
        <f aca="false">G563+#REF!-F564</f>
        <v>#REF!</v>
      </c>
    </row>
    <row r="565" customFormat="false" ht="13" hidden="false" customHeight="false" outlineLevel="0" collapsed="false">
      <c r="B565" s="29"/>
      <c r="C565" s="30"/>
      <c r="D565" s="12"/>
      <c r="E565" s="12"/>
      <c r="F565" s="31"/>
      <c r="G565" s="32" t="e">
        <f aca="false">G564+#REF!-F565</f>
        <v>#REF!</v>
      </c>
    </row>
    <row r="566" customFormat="false" ht="13" hidden="false" customHeight="false" outlineLevel="0" collapsed="false">
      <c r="B566" s="29"/>
      <c r="C566" s="30"/>
      <c r="D566" s="12"/>
      <c r="E566" s="12"/>
      <c r="F566" s="31"/>
      <c r="G566" s="32" t="e">
        <f aca="false">G565+#REF!-F566</f>
        <v>#REF!</v>
      </c>
    </row>
    <row r="567" customFormat="false" ht="13" hidden="false" customHeight="false" outlineLevel="0" collapsed="false">
      <c r="B567" s="29"/>
      <c r="C567" s="30"/>
      <c r="D567" s="12"/>
      <c r="E567" s="12"/>
      <c r="F567" s="31"/>
      <c r="G567" s="32" t="e">
        <f aca="false">G566+#REF!-F567</f>
        <v>#REF!</v>
      </c>
    </row>
    <row r="568" customFormat="false" ht="13" hidden="false" customHeight="false" outlineLevel="0" collapsed="false">
      <c r="B568" s="29"/>
      <c r="C568" s="30"/>
      <c r="D568" s="12"/>
      <c r="E568" s="12"/>
      <c r="F568" s="31"/>
      <c r="G568" s="32" t="e">
        <f aca="false">G567+#REF!-F568</f>
        <v>#REF!</v>
      </c>
    </row>
    <row r="569" customFormat="false" ht="13" hidden="false" customHeight="false" outlineLevel="0" collapsed="false">
      <c r="B569" s="29"/>
      <c r="C569" s="30"/>
      <c r="D569" s="12"/>
      <c r="E569" s="12"/>
      <c r="F569" s="31"/>
      <c r="G569" s="32" t="e">
        <f aca="false">G568+#REF!-F569</f>
        <v>#REF!</v>
      </c>
    </row>
    <row r="570" customFormat="false" ht="13" hidden="false" customHeight="false" outlineLevel="0" collapsed="false">
      <c r="B570" s="29"/>
      <c r="C570" s="30"/>
      <c r="D570" s="12"/>
      <c r="E570" s="12"/>
      <c r="F570" s="31"/>
      <c r="G570" s="32" t="e">
        <f aca="false">G569+#REF!-F570</f>
        <v>#REF!</v>
      </c>
    </row>
    <row r="571" customFormat="false" ht="13" hidden="false" customHeight="false" outlineLevel="0" collapsed="false">
      <c r="B571" s="29"/>
      <c r="C571" s="30"/>
      <c r="D571" s="12"/>
      <c r="E571" s="12"/>
      <c r="F571" s="31"/>
      <c r="G571" s="32" t="e">
        <f aca="false">G570+#REF!-F571</f>
        <v>#REF!</v>
      </c>
    </row>
    <row r="572" customFormat="false" ht="13" hidden="false" customHeight="false" outlineLevel="0" collapsed="false">
      <c r="B572" s="29"/>
      <c r="C572" s="30"/>
      <c r="D572" s="12"/>
      <c r="E572" s="12"/>
      <c r="F572" s="31"/>
      <c r="G572" s="32" t="e">
        <f aca="false">G571+#REF!-F572</f>
        <v>#REF!</v>
      </c>
    </row>
    <row r="573" customFormat="false" ht="13" hidden="false" customHeight="false" outlineLevel="0" collapsed="false">
      <c r="B573" s="29"/>
      <c r="C573" s="30"/>
      <c r="D573" s="12"/>
      <c r="E573" s="12"/>
      <c r="F573" s="31"/>
      <c r="G573" s="32" t="e">
        <f aca="false">G572+#REF!-F573</f>
        <v>#REF!</v>
      </c>
    </row>
    <row r="574" customFormat="false" ht="13" hidden="false" customHeight="false" outlineLevel="0" collapsed="false">
      <c r="B574" s="29"/>
      <c r="C574" s="30"/>
      <c r="D574" s="12"/>
      <c r="E574" s="12"/>
      <c r="F574" s="31"/>
      <c r="G574" s="32" t="e">
        <f aca="false">G573+#REF!-F574</f>
        <v>#REF!</v>
      </c>
    </row>
    <row r="575" customFormat="false" ht="13" hidden="false" customHeight="false" outlineLevel="0" collapsed="false">
      <c r="B575" s="29"/>
      <c r="C575" s="30"/>
      <c r="D575" s="12"/>
      <c r="E575" s="12"/>
      <c r="F575" s="31"/>
      <c r="G575" s="32" t="e">
        <f aca="false">G574+#REF!-F575</f>
        <v>#REF!</v>
      </c>
    </row>
    <row r="576" customFormat="false" ht="13" hidden="false" customHeight="false" outlineLevel="0" collapsed="false">
      <c r="B576" s="29"/>
      <c r="C576" s="30"/>
      <c r="D576" s="12"/>
      <c r="E576" s="12"/>
      <c r="F576" s="31"/>
      <c r="G576" s="32" t="e">
        <f aca="false">G575+#REF!-F576</f>
        <v>#REF!</v>
      </c>
      <c r="H576" s="35"/>
    </row>
    <row r="577" customFormat="false" ht="13" hidden="false" customHeight="false" outlineLevel="0" collapsed="false">
      <c r="B577" s="29"/>
      <c r="C577" s="30"/>
      <c r="D577" s="12"/>
      <c r="E577" s="12"/>
      <c r="F577" s="31"/>
      <c r="G577" s="32" t="e">
        <f aca="false">G576+#REF!-F577</f>
        <v>#REF!</v>
      </c>
    </row>
    <row r="578" customFormat="false" ht="13" hidden="false" customHeight="false" outlineLevel="0" collapsed="false">
      <c r="B578" s="29"/>
      <c r="C578" s="30"/>
      <c r="D578" s="12"/>
      <c r="E578" s="12"/>
      <c r="F578" s="31"/>
      <c r="G578" s="32" t="e">
        <f aca="false">G577+#REF!-F578</f>
        <v>#REF!</v>
      </c>
    </row>
    <row r="579" customFormat="false" ht="13" hidden="false" customHeight="false" outlineLevel="0" collapsed="false">
      <c r="B579" s="29"/>
      <c r="C579" s="30"/>
      <c r="D579" s="12"/>
      <c r="E579" s="12"/>
      <c r="F579" s="31"/>
      <c r="G579" s="32" t="e">
        <f aca="false">G578+#REF!-F579</f>
        <v>#REF!</v>
      </c>
    </row>
    <row r="580" customFormat="false" ht="13" hidden="false" customHeight="false" outlineLevel="0" collapsed="false">
      <c r="B580" s="29"/>
      <c r="C580" s="30"/>
      <c r="D580" s="12"/>
      <c r="E580" s="12"/>
      <c r="F580" s="31"/>
      <c r="G580" s="32" t="e">
        <f aca="false">G579+#REF!-F580</f>
        <v>#REF!</v>
      </c>
    </row>
    <row r="581" customFormat="false" ht="13" hidden="false" customHeight="false" outlineLevel="0" collapsed="false">
      <c r="B581" s="29"/>
      <c r="C581" s="30"/>
      <c r="D581" s="12"/>
      <c r="E581" s="12"/>
      <c r="F581" s="31"/>
      <c r="G581" s="32" t="e">
        <f aca="false">G580+#REF!-F581</f>
        <v>#REF!</v>
      </c>
    </row>
    <row r="582" customFormat="false" ht="13" hidden="false" customHeight="false" outlineLevel="0" collapsed="false">
      <c r="B582" s="29"/>
      <c r="C582" s="30"/>
      <c r="D582" s="12"/>
      <c r="E582" s="12"/>
      <c r="F582" s="33"/>
      <c r="G582" s="32" t="e">
        <f aca="false">G581+#REF!-F582</f>
        <v>#REF!</v>
      </c>
    </row>
    <row r="583" customFormat="false" ht="13" hidden="false" customHeight="false" outlineLevel="0" collapsed="false">
      <c r="B583" s="29"/>
      <c r="C583" s="30"/>
      <c r="D583" s="12"/>
      <c r="E583" s="12"/>
      <c r="F583" s="33"/>
      <c r="G583" s="32" t="e">
        <f aca="false">G582+#REF!-F583</f>
        <v>#REF!</v>
      </c>
    </row>
    <row r="584" customFormat="false" ht="13" hidden="false" customHeight="false" outlineLevel="0" collapsed="false">
      <c r="B584" s="29"/>
      <c r="C584" s="30"/>
      <c r="D584" s="12"/>
      <c r="E584" s="12"/>
      <c r="F584" s="33"/>
      <c r="G584" s="32" t="e">
        <f aca="false">G583+#REF!-F584</f>
        <v>#REF!</v>
      </c>
    </row>
    <row r="585" customFormat="false" ht="13" hidden="false" customHeight="false" outlineLevel="0" collapsed="false">
      <c r="B585" s="29"/>
      <c r="C585" s="30"/>
      <c r="D585" s="12"/>
      <c r="E585" s="12"/>
      <c r="F585" s="33"/>
      <c r="G585" s="32" t="e">
        <f aca="false">G584+#REF!-F585</f>
        <v>#REF!</v>
      </c>
    </row>
    <row r="586" customFormat="false" ht="13" hidden="false" customHeight="false" outlineLevel="0" collapsed="false">
      <c r="B586" s="29"/>
      <c r="C586" s="30"/>
      <c r="D586" s="12"/>
      <c r="E586" s="12"/>
      <c r="F586" s="33"/>
      <c r="G586" s="32" t="e">
        <f aca="false">G585+#REF!-F586</f>
        <v>#REF!</v>
      </c>
    </row>
    <row r="587" customFormat="false" ht="13" hidden="false" customHeight="false" outlineLevel="0" collapsed="false">
      <c r="B587" s="29"/>
      <c r="C587" s="30"/>
      <c r="D587" s="12"/>
      <c r="E587" s="12"/>
      <c r="F587" s="33"/>
      <c r="G587" s="32" t="e">
        <f aca="false">G586+#REF!-F587</f>
        <v>#REF!</v>
      </c>
    </row>
    <row r="588" customFormat="false" ht="13" hidden="false" customHeight="false" outlineLevel="0" collapsed="false">
      <c r="B588" s="29"/>
      <c r="C588" s="30"/>
      <c r="D588" s="12"/>
      <c r="E588" s="12"/>
      <c r="F588" s="33"/>
      <c r="G588" s="32" t="e">
        <f aca="false">G587+#REF!-F588</f>
        <v>#REF!</v>
      </c>
    </row>
    <row r="589" customFormat="false" ht="13" hidden="false" customHeight="false" outlineLevel="0" collapsed="false">
      <c r="B589" s="29"/>
      <c r="C589" s="30"/>
      <c r="D589" s="12"/>
      <c r="E589" s="12"/>
      <c r="F589" s="33"/>
      <c r="G589" s="32" t="e">
        <f aca="false">G588+#REF!-F589</f>
        <v>#REF!</v>
      </c>
    </row>
    <row r="590" customFormat="false" ht="13" hidden="false" customHeight="false" outlineLevel="0" collapsed="false">
      <c r="B590" s="29"/>
      <c r="C590" s="30"/>
      <c r="D590" s="12"/>
      <c r="E590" s="12"/>
      <c r="F590" s="33"/>
      <c r="G590" s="32" t="e">
        <f aca="false">G589+#REF!-F590</f>
        <v>#REF!</v>
      </c>
    </row>
    <row r="591" customFormat="false" ht="13" hidden="false" customHeight="false" outlineLevel="0" collapsed="false">
      <c r="B591" s="29"/>
      <c r="C591" s="30"/>
      <c r="D591" s="12"/>
      <c r="E591" s="12"/>
      <c r="F591" s="33"/>
      <c r="G591" s="32" t="e">
        <f aca="false">G590+#REF!-F591</f>
        <v>#REF!</v>
      </c>
    </row>
    <row r="592" customFormat="false" ht="13" hidden="false" customHeight="false" outlineLevel="0" collapsed="false">
      <c r="B592" s="29"/>
      <c r="C592" s="30"/>
      <c r="D592" s="12"/>
      <c r="E592" s="12"/>
      <c r="F592" s="33"/>
      <c r="G592" s="32" t="e">
        <f aca="false">G591+#REF!-F592</f>
        <v>#REF!</v>
      </c>
    </row>
    <row r="593" customFormat="false" ht="13" hidden="false" customHeight="false" outlineLevel="0" collapsed="false">
      <c r="B593" s="29"/>
      <c r="C593" s="30"/>
      <c r="D593" s="12"/>
      <c r="E593" s="12"/>
      <c r="F593" s="33"/>
      <c r="G593" s="32" t="e">
        <f aca="false">G592+#REF!-F593</f>
        <v>#REF!</v>
      </c>
    </row>
    <row r="594" customFormat="false" ht="13" hidden="false" customHeight="false" outlineLevel="0" collapsed="false">
      <c r="B594" s="29"/>
      <c r="C594" s="30"/>
      <c r="D594" s="12"/>
      <c r="E594" s="12"/>
      <c r="F594" s="33"/>
      <c r="G594" s="32" t="e">
        <f aca="false">G593+#REF!-F594</f>
        <v>#REF!</v>
      </c>
    </row>
    <row r="595" customFormat="false" ht="13" hidden="false" customHeight="false" outlineLevel="0" collapsed="false">
      <c r="B595" s="36"/>
      <c r="C595" s="36"/>
      <c r="D595" s="34"/>
      <c r="E595" s="34"/>
      <c r="F595" s="32"/>
      <c r="G595" s="32" t="e">
        <f aca="false">G594+#REF!-F595</f>
        <v>#REF!</v>
      </c>
    </row>
    <row r="596" customFormat="false" ht="13" hidden="false" customHeight="false" outlineLevel="0" collapsed="false">
      <c r="B596" s="36"/>
      <c r="C596" s="36"/>
      <c r="D596" s="34"/>
      <c r="E596" s="34"/>
      <c r="F596" s="32"/>
      <c r="G596" s="32" t="e">
        <f aca="false">G595+#REF!-F596</f>
        <v>#REF!</v>
      </c>
    </row>
    <row r="597" customFormat="false" ht="13" hidden="false" customHeight="false" outlineLevel="0" collapsed="false">
      <c r="B597" s="36"/>
      <c r="C597" s="36"/>
      <c r="D597" s="34"/>
      <c r="E597" s="34"/>
      <c r="F597" s="32"/>
      <c r="G597" s="32" t="e">
        <f aca="false">G596+#REF!-F597</f>
        <v>#REF!</v>
      </c>
    </row>
    <row r="598" customFormat="false" ht="13" hidden="false" customHeight="false" outlineLevel="0" collapsed="false">
      <c r="B598" s="36"/>
      <c r="C598" s="36"/>
      <c r="D598" s="34"/>
      <c r="E598" s="34"/>
      <c r="F598" s="32"/>
      <c r="G598" s="32" t="e">
        <f aca="false">G597+#REF!-F598</f>
        <v>#REF!</v>
      </c>
    </row>
    <row r="599" customFormat="false" ht="13" hidden="false" customHeight="false" outlineLevel="0" collapsed="false">
      <c r="B599" s="36"/>
      <c r="C599" s="36"/>
      <c r="D599" s="34"/>
      <c r="E599" s="34"/>
      <c r="F599" s="32"/>
      <c r="G599" s="32" t="e">
        <f aca="false">G598+#REF!-F599</f>
        <v>#REF!</v>
      </c>
    </row>
    <row r="600" customFormat="false" ht="13" hidden="false" customHeight="false" outlineLevel="0" collapsed="false">
      <c r="B600" s="36"/>
      <c r="C600" s="36"/>
      <c r="D600" s="34"/>
      <c r="E600" s="34"/>
      <c r="F600" s="32"/>
      <c r="G600" s="32" t="e">
        <f aca="false">G599+#REF!-F600</f>
        <v>#REF!</v>
      </c>
    </row>
    <row r="601" customFormat="false" ht="13" hidden="false" customHeight="false" outlineLevel="0" collapsed="false">
      <c r="B601" s="36"/>
      <c r="C601" s="36"/>
      <c r="D601" s="34"/>
      <c r="E601" s="34"/>
      <c r="F601" s="32"/>
      <c r="G601" s="32" t="e">
        <f aca="false">G600+#REF!-F601</f>
        <v>#REF!</v>
      </c>
    </row>
    <row r="602" customFormat="false" ht="13" hidden="false" customHeight="false" outlineLevel="0" collapsed="false">
      <c r="B602" s="36"/>
      <c r="C602" s="36"/>
      <c r="D602" s="34"/>
      <c r="E602" s="34"/>
      <c r="F602" s="32"/>
      <c r="G602" s="32" t="e">
        <f aca="false">G601+#REF!-F602</f>
        <v>#REF!</v>
      </c>
    </row>
    <row r="603" customFormat="false" ht="13" hidden="false" customHeight="false" outlineLevel="0" collapsed="false">
      <c r="B603" s="36"/>
      <c r="C603" s="36"/>
      <c r="D603" s="34"/>
      <c r="E603" s="34"/>
      <c r="F603" s="32"/>
      <c r="G603" s="32" t="e">
        <f aca="false">G602+#REF!-F603</f>
        <v>#REF!</v>
      </c>
    </row>
    <row r="604" customFormat="false" ht="13" hidden="false" customHeight="false" outlineLevel="0" collapsed="false">
      <c r="B604" s="36"/>
      <c r="C604" s="36"/>
      <c r="D604" s="34"/>
      <c r="E604" s="34"/>
      <c r="F604" s="32"/>
      <c r="G604" s="32" t="e">
        <f aca="false">G603+#REF!-F604</f>
        <v>#REF!</v>
      </c>
    </row>
    <row r="605" customFormat="false" ht="13" hidden="false" customHeight="false" outlineLevel="0" collapsed="false">
      <c r="B605" s="36"/>
      <c r="C605" s="36"/>
      <c r="D605" s="34"/>
      <c r="E605" s="34"/>
      <c r="F605" s="32"/>
      <c r="G605" s="32" t="e">
        <f aca="false">G604+#REF!-F605</f>
        <v>#REF!</v>
      </c>
    </row>
    <row r="606" customFormat="false" ht="13" hidden="false" customHeight="false" outlineLevel="0" collapsed="false">
      <c r="B606" s="36"/>
      <c r="C606" s="36"/>
      <c r="D606" s="34"/>
      <c r="E606" s="34"/>
      <c r="F606" s="32"/>
      <c r="G606" s="32" t="e">
        <f aca="false">G605+#REF!-F606</f>
        <v>#REF!</v>
      </c>
    </row>
    <row r="607" customFormat="false" ht="13" hidden="false" customHeight="false" outlineLevel="0" collapsed="false">
      <c r="B607" s="36"/>
      <c r="C607" s="36"/>
      <c r="D607" s="34"/>
      <c r="E607" s="34"/>
      <c r="F607" s="32"/>
      <c r="G607" s="32" t="e">
        <f aca="false">G606+#REF!-F607</f>
        <v>#REF!</v>
      </c>
    </row>
    <row r="608" customFormat="false" ht="13" hidden="false" customHeight="false" outlineLevel="0" collapsed="false">
      <c r="B608" s="36"/>
      <c r="C608" s="36"/>
      <c r="D608" s="34"/>
      <c r="E608" s="34"/>
      <c r="F608" s="32"/>
      <c r="G608" s="32" t="e">
        <f aca="false">G607+#REF!-F608</f>
        <v>#REF!</v>
      </c>
    </row>
    <row r="609" customFormat="false" ht="13" hidden="false" customHeight="false" outlineLevel="0" collapsed="false">
      <c r="B609" s="36"/>
      <c r="C609" s="36"/>
      <c r="D609" s="34"/>
      <c r="E609" s="34"/>
      <c r="F609" s="32"/>
      <c r="G609" s="32" t="e">
        <f aca="false">G608+#REF!-F609</f>
        <v>#REF!</v>
      </c>
    </row>
    <row r="610" customFormat="false" ht="13" hidden="false" customHeight="false" outlineLevel="0" collapsed="false">
      <c r="B610" s="36"/>
      <c r="C610" s="36"/>
      <c r="D610" s="34"/>
      <c r="E610" s="34"/>
      <c r="F610" s="32"/>
      <c r="G610" s="32" t="e">
        <f aca="false">G609+#REF!-F610</f>
        <v>#REF!</v>
      </c>
    </row>
    <row r="611" customFormat="false" ht="13" hidden="false" customHeight="false" outlineLevel="0" collapsed="false">
      <c r="B611" s="36"/>
      <c r="C611" s="36"/>
      <c r="D611" s="34"/>
      <c r="E611" s="34"/>
      <c r="F611" s="32"/>
      <c r="G611" s="32" t="e">
        <f aca="false">G610+#REF!-F611</f>
        <v>#REF!</v>
      </c>
    </row>
    <row r="612" customFormat="false" ht="13" hidden="false" customHeight="false" outlineLevel="0" collapsed="false">
      <c r="B612" s="36"/>
      <c r="C612" s="36"/>
      <c r="D612" s="34"/>
      <c r="E612" s="34"/>
      <c r="F612" s="32"/>
      <c r="G612" s="32" t="e">
        <f aca="false">G611+#REF!-F612</f>
        <v>#REF!</v>
      </c>
    </row>
    <row r="613" customFormat="false" ht="13" hidden="false" customHeight="false" outlineLevel="0" collapsed="false">
      <c r="B613" s="36"/>
      <c r="C613" s="36"/>
      <c r="D613" s="34"/>
      <c r="E613" s="34"/>
      <c r="F613" s="32"/>
      <c r="G613" s="32" t="e">
        <f aca="false">G612+#REF!-F613</f>
        <v>#REF!</v>
      </c>
    </row>
    <row r="614" customFormat="false" ht="13" hidden="false" customHeight="false" outlineLevel="0" collapsed="false">
      <c r="B614" s="36"/>
      <c r="C614" s="36"/>
      <c r="D614" s="34"/>
      <c r="E614" s="34"/>
      <c r="F614" s="32"/>
      <c r="G614" s="32" t="e">
        <f aca="false">G613+#REF!-F614</f>
        <v>#REF!</v>
      </c>
    </row>
    <row r="615" customFormat="false" ht="13" hidden="false" customHeight="false" outlineLevel="0" collapsed="false">
      <c r="B615" s="36"/>
      <c r="C615" s="36"/>
      <c r="D615" s="34"/>
      <c r="E615" s="34"/>
      <c r="F615" s="32"/>
      <c r="G615" s="32" t="e">
        <f aca="false">G614+#REF!-F615</f>
        <v>#REF!</v>
      </c>
    </row>
    <row r="616" customFormat="false" ht="13" hidden="false" customHeight="false" outlineLevel="0" collapsed="false">
      <c r="B616" s="36"/>
      <c r="C616" s="36"/>
      <c r="D616" s="34"/>
      <c r="E616" s="34"/>
      <c r="F616" s="32"/>
      <c r="G616" s="32" t="e">
        <f aca="false">G615+#REF!-F616</f>
        <v>#REF!</v>
      </c>
    </row>
    <row r="617" customFormat="false" ht="13" hidden="false" customHeight="false" outlineLevel="0" collapsed="false">
      <c r="B617" s="36"/>
      <c r="C617" s="36"/>
      <c r="D617" s="34"/>
      <c r="E617" s="34"/>
      <c r="F617" s="32"/>
      <c r="G617" s="32" t="e">
        <f aca="false">G616+#REF!-F617</f>
        <v>#REF!</v>
      </c>
    </row>
    <row r="618" customFormat="false" ht="13" hidden="false" customHeight="false" outlineLevel="0" collapsed="false">
      <c r="B618" s="36"/>
      <c r="C618" s="36"/>
      <c r="D618" s="34"/>
      <c r="E618" s="34"/>
      <c r="F618" s="32"/>
      <c r="G618" s="32" t="e">
        <f aca="false">G617+#REF!-F618</f>
        <v>#REF!</v>
      </c>
    </row>
    <row r="619" customFormat="false" ht="13" hidden="false" customHeight="false" outlineLevel="0" collapsed="false">
      <c r="B619" s="36"/>
      <c r="C619" s="36"/>
      <c r="D619" s="34"/>
      <c r="E619" s="34"/>
      <c r="F619" s="32"/>
      <c r="G619" s="32" t="e">
        <f aca="false">G618+#REF!-F619</f>
        <v>#REF!</v>
      </c>
    </row>
    <row r="620" customFormat="false" ht="13" hidden="false" customHeight="false" outlineLevel="0" collapsed="false">
      <c r="B620" s="36"/>
      <c r="C620" s="36"/>
      <c r="D620" s="34"/>
      <c r="E620" s="34"/>
      <c r="F620" s="32"/>
      <c r="G620" s="32" t="e">
        <f aca="false">G619+#REF!-F620</f>
        <v>#REF!</v>
      </c>
    </row>
    <row r="621" customFormat="false" ht="13" hidden="false" customHeight="false" outlineLevel="0" collapsed="false">
      <c r="B621" s="36"/>
      <c r="C621" s="36"/>
      <c r="D621" s="34"/>
      <c r="E621" s="34"/>
      <c r="F621" s="32"/>
      <c r="G621" s="32" t="e">
        <f aca="false">G620+#REF!-F621</f>
        <v>#REF!</v>
      </c>
    </row>
    <row r="622" customFormat="false" ht="13" hidden="false" customHeight="false" outlineLevel="0" collapsed="false">
      <c r="B622" s="36"/>
      <c r="C622" s="36"/>
      <c r="D622" s="34"/>
      <c r="E622" s="34"/>
      <c r="F622" s="32"/>
      <c r="G622" s="32" t="e">
        <f aca="false">G621+#REF!-F622</f>
        <v>#REF!</v>
      </c>
    </row>
    <row r="623" customFormat="false" ht="13" hidden="false" customHeight="false" outlineLevel="0" collapsed="false">
      <c r="B623" s="36"/>
      <c r="C623" s="36"/>
      <c r="D623" s="34"/>
      <c r="E623" s="34"/>
      <c r="F623" s="32"/>
      <c r="G623" s="32" t="e">
        <f aca="false">G622+#REF!-F623</f>
        <v>#REF!</v>
      </c>
    </row>
    <row r="624" customFormat="false" ht="13" hidden="false" customHeight="false" outlineLevel="0" collapsed="false">
      <c r="B624" s="36"/>
      <c r="C624" s="36"/>
      <c r="D624" s="34"/>
      <c r="E624" s="34"/>
      <c r="F624" s="32"/>
      <c r="G624" s="32" t="e">
        <f aca="false">G623+#REF!-F624</f>
        <v>#REF!</v>
      </c>
    </row>
    <row r="625" customFormat="false" ht="13" hidden="false" customHeight="false" outlineLevel="0" collapsed="false">
      <c r="B625" s="36"/>
      <c r="C625" s="36"/>
      <c r="D625" s="34"/>
      <c r="E625" s="34"/>
      <c r="F625" s="32"/>
      <c r="G625" s="32" t="e">
        <f aca="false">G624+#REF!-F625</f>
        <v>#REF!</v>
      </c>
    </row>
    <row r="626" customFormat="false" ht="13" hidden="false" customHeight="false" outlineLevel="0" collapsed="false">
      <c r="B626" s="36"/>
      <c r="C626" s="36"/>
      <c r="D626" s="34"/>
      <c r="E626" s="34"/>
      <c r="F626" s="32"/>
      <c r="G626" s="32" t="e">
        <f aca="false">G625+#REF!-F626</f>
        <v>#REF!</v>
      </c>
    </row>
    <row r="627" customFormat="false" ht="13" hidden="false" customHeight="false" outlineLevel="0" collapsed="false">
      <c r="B627" s="36"/>
      <c r="C627" s="36"/>
      <c r="D627" s="34"/>
      <c r="E627" s="34"/>
      <c r="F627" s="32"/>
      <c r="G627" s="32" t="e">
        <f aca="false">G626+#REF!-F627</f>
        <v>#REF!</v>
      </c>
    </row>
    <row r="628" customFormat="false" ht="13" hidden="false" customHeight="false" outlineLevel="0" collapsed="false">
      <c r="B628" s="36"/>
      <c r="C628" s="36"/>
      <c r="D628" s="34"/>
      <c r="E628" s="34"/>
      <c r="F628" s="32"/>
      <c r="G628" s="32" t="e">
        <f aca="false">G627+#REF!-F628</f>
        <v>#REF!</v>
      </c>
    </row>
    <row r="629" customFormat="false" ht="13" hidden="false" customHeight="false" outlineLevel="0" collapsed="false">
      <c r="B629" s="36"/>
      <c r="C629" s="36"/>
      <c r="D629" s="34"/>
      <c r="E629" s="34"/>
      <c r="F629" s="32"/>
      <c r="G629" s="32" t="e">
        <f aca="false">G628+#REF!-F629</f>
        <v>#REF!</v>
      </c>
    </row>
    <row r="630" customFormat="false" ht="13" hidden="false" customHeight="false" outlineLevel="0" collapsed="false">
      <c r="B630" s="36"/>
      <c r="C630" s="36"/>
      <c r="D630" s="34"/>
      <c r="E630" s="34"/>
      <c r="F630" s="32"/>
      <c r="G630" s="32" t="e">
        <f aca="false">G629+#REF!-F630</f>
        <v>#REF!</v>
      </c>
    </row>
    <row r="631" customFormat="false" ht="13" hidden="false" customHeight="false" outlineLevel="0" collapsed="false">
      <c r="B631" s="36"/>
      <c r="C631" s="36"/>
      <c r="D631" s="34"/>
      <c r="E631" s="34"/>
      <c r="F631" s="32"/>
      <c r="G631" s="32" t="e">
        <f aca="false">G630+#REF!-F631</f>
        <v>#REF!</v>
      </c>
    </row>
    <row r="632" customFormat="false" ht="13" hidden="false" customHeight="false" outlineLevel="0" collapsed="false">
      <c r="B632" s="36"/>
      <c r="C632" s="36"/>
      <c r="D632" s="34"/>
      <c r="E632" s="34"/>
      <c r="F632" s="32"/>
      <c r="G632" s="32" t="e">
        <f aca="false">G631+#REF!-F632</f>
        <v>#REF!</v>
      </c>
    </row>
    <row r="633" customFormat="false" ht="13" hidden="false" customHeight="false" outlineLevel="0" collapsed="false">
      <c r="B633" s="36"/>
      <c r="C633" s="36"/>
      <c r="D633" s="34"/>
      <c r="E633" s="34"/>
      <c r="F633" s="32"/>
      <c r="G633" s="32" t="e">
        <f aca="false">G632+#REF!-F633</f>
        <v>#REF!</v>
      </c>
    </row>
    <row r="634" customFormat="false" ht="13" hidden="false" customHeight="false" outlineLevel="0" collapsed="false">
      <c r="B634" s="36"/>
      <c r="C634" s="36"/>
      <c r="D634" s="34"/>
      <c r="E634" s="34"/>
      <c r="F634" s="32"/>
      <c r="G634" s="32" t="e">
        <f aca="false">G633+#REF!-F634</f>
        <v>#REF!</v>
      </c>
    </row>
    <row r="635" customFormat="false" ht="13" hidden="false" customHeight="false" outlineLevel="0" collapsed="false">
      <c r="B635" s="36"/>
      <c r="C635" s="36"/>
      <c r="D635" s="34"/>
      <c r="E635" s="34"/>
      <c r="F635" s="32"/>
      <c r="G635" s="32" t="e">
        <f aca="false">G634+#REF!-F635</f>
        <v>#REF!</v>
      </c>
    </row>
    <row r="636" customFormat="false" ht="13" hidden="false" customHeight="false" outlineLevel="0" collapsed="false">
      <c r="B636" s="36"/>
      <c r="C636" s="36"/>
      <c r="D636" s="34"/>
      <c r="E636" s="34"/>
      <c r="F636" s="32"/>
      <c r="G636" s="32" t="e">
        <f aca="false">G635+#REF!-F636</f>
        <v>#REF!</v>
      </c>
    </row>
    <row r="637" customFormat="false" ht="13" hidden="false" customHeight="false" outlineLevel="0" collapsed="false">
      <c r="B637" s="36"/>
      <c r="C637" s="36"/>
      <c r="D637" s="34"/>
      <c r="E637" s="34"/>
      <c r="F637" s="32"/>
      <c r="G637" s="32" t="e">
        <f aca="false">G636+#REF!-F637</f>
        <v>#REF!</v>
      </c>
    </row>
    <row r="638" customFormat="false" ht="13" hidden="false" customHeight="false" outlineLevel="0" collapsed="false">
      <c r="B638" s="36"/>
      <c r="C638" s="36"/>
      <c r="D638" s="34"/>
      <c r="E638" s="34"/>
      <c r="F638" s="32"/>
      <c r="G638" s="32" t="e">
        <f aca="false">G637+#REF!-F638</f>
        <v>#REF!</v>
      </c>
    </row>
    <row r="639" customFormat="false" ht="13" hidden="false" customHeight="false" outlineLevel="0" collapsed="false">
      <c r="B639" s="36"/>
      <c r="C639" s="36"/>
      <c r="D639" s="34"/>
      <c r="E639" s="34"/>
      <c r="F639" s="32"/>
      <c r="G639" s="32" t="e">
        <f aca="false">G638+#REF!-F639</f>
        <v>#REF!</v>
      </c>
    </row>
    <row r="640" customFormat="false" ht="13" hidden="false" customHeight="false" outlineLevel="0" collapsed="false">
      <c r="B640" s="36"/>
      <c r="C640" s="36"/>
      <c r="D640" s="34"/>
      <c r="E640" s="34"/>
      <c r="F640" s="32"/>
      <c r="G640" s="32" t="e">
        <f aca="false">G639+#REF!-F640</f>
        <v>#REF!</v>
      </c>
    </row>
    <row r="641" customFormat="false" ht="13" hidden="false" customHeight="false" outlineLevel="0" collapsed="false">
      <c r="B641" s="36"/>
      <c r="C641" s="36"/>
      <c r="D641" s="34"/>
      <c r="E641" s="34"/>
      <c r="F641" s="32"/>
      <c r="G641" s="32" t="e">
        <f aca="false">G640+#REF!-F641</f>
        <v>#REF!</v>
      </c>
    </row>
    <row r="642" customFormat="false" ht="13" hidden="false" customHeight="false" outlineLevel="0" collapsed="false">
      <c r="B642" s="36"/>
      <c r="C642" s="36"/>
      <c r="D642" s="34"/>
      <c r="E642" s="34"/>
      <c r="F642" s="32"/>
      <c r="G642" s="32" t="e">
        <f aca="false">G641+#REF!-F642</f>
        <v>#REF!</v>
      </c>
    </row>
    <row r="643" customFormat="false" ht="13" hidden="false" customHeight="false" outlineLevel="0" collapsed="false">
      <c r="B643" s="36"/>
      <c r="C643" s="36"/>
      <c r="D643" s="34"/>
      <c r="E643" s="34"/>
      <c r="F643" s="32"/>
      <c r="G643" s="32" t="e">
        <f aca="false">G642+#REF!-F643</f>
        <v>#REF!</v>
      </c>
    </row>
    <row r="644" customFormat="false" ht="13" hidden="false" customHeight="false" outlineLevel="0" collapsed="false">
      <c r="B644" s="36"/>
      <c r="C644" s="36"/>
      <c r="D644" s="34"/>
      <c r="E644" s="34"/>
      <c r="F644" s="32"/>
      <c r="G644" s="32" t="e">
        <f aca="false">G643+#REF!-F644</f>
        <v>#REF!</v>
      </c>
    </row>
    <row r="645" customFormat="false" ht="13" hidden="false" customHeight="false" outlineLevel="0" collapsed="false">
      <c r="B645" s="36"/>
      <c r="C645" s="36"/>
      <c r="D645" s="34"/>
      <c r="E645" s="34"/>
      <c r="F645" s="32"/>
      <c r="G645" s="32" t="e">
        <f aca="false">G644+#REF!-F645</f>
        <v>#REF!</v>
      </c>
    </row>
    <row r="646" customFormat="false" ht="13" hidden="false" customHeight="false" outlineLevel="0" collapsed="false">
      <c r="B646" s="36"/>
      <c r="C646" s="36"/>
      <c r="D646" s="34"/>
      <c r="E646" s="34"/>
      <c r="F646" s="32"/>
      <c r="G646" s="32" t="e">
        <f aca="false">G645+#REF!-F646</f>
        <v>#REF!</v>
      </c>
    </row>
    <row r="647" customFormat="false" ht="13" hidden="false" customHeight="false" outlineLevel="0" collapsed="false">
      <c r="B647" s="36"/>
      <c r="C647" s="36"/>
      <c r="D647" s="34"/>
      <c r="E647" s="34"/>
      <c r="F647" s="32"/>
      <c r="G647" s="32" t="e">
        <f aca="false">G646+#REF!-F647</f>
        <v>#REF!</v>
      </c>
    </row>
    <row r="648" customFormat="false" ht="13" hidden="false" customHeight="false" outlineLevel="0" collapsed="false">
      <c r="B648" s="36"/>
      <c r="C648" s="36"/>
      <c r="D648" s="34"/>
      <c r="E648" s="34"/>
      <c r="F648" s="32"/>
      <c r="G648" s="32" t="e">
        <f aca="false">G647+#REF!-F648</f>
        <v>#REF!</v>
      </c>
    </row>
    <row r="649" customFormat="false" ht="13" hidden="false" customHeight="false" outlineLevel="0" collapsed="false">
      <c r="B649" s="36"/>
      <c r="C649" s="36"/>
      <c r="D649" s="34"/>
      <c r="E649" s="34"/>
      <c r="F649" s="32"/>
      <c r="G649" s="32" t="e">
        <f aca="false">G648+#REF!-F649</f>
        <v>#REF!</v>
      </c>
    </row>
    <row r="650" customFormat="false" ht="13" hidden="false" customHeight="false" outlineLevel="0" collapsed="false">
      <c r="B650" s="36"/>
      <c r="C650" s="36"/>
      <c r="D650" s="34"/>
      <c r="E650" s="34"/>
      <c r="F650" s="32"/>
      <c r="G650" s="32" t="e">
        <f aca="false">G649+#REF!-F650</f>
        <v>#REF!</v>
      </c>
    </row>
    <row r="651" customFormat="false" ht="13" hidden="false" customHeight="false" outlineLevel="0" collapsed="false">
      <c r="B651" s="36"/>
      <c r="C651" s="36"/>
      <c r="D651" s="34"/>
      <c r="E651" s="34"/>
      <c r="F651" s="32"/>
      <c r="G651" s="32" t="e">
        <f aca="false">G650+#REF!-F651</f>
        <v>#REF!</v>
      </c>
    </row>
    <row r="652" customFormat="false" ht="13" hidden="false" customHeight="false" outlineLevel="0" collapsed="false">
      <c r="B652" s="36"/>
      <c r="C652" s="36"/>
      <c r="D652" s="34"/>
      <c r="E652" s="34"/>
      <c r="F652" s="32"/>
      <c r="G652" s="32" t="e">
        <f aca="false">G651+#REF!-F652</f>
        <v>#REF!</v>
      </c>
    </row>
    <row r="653" customFormat="false" ht="13" hidden="false" customHeight="false" outlineLevel="0" collapsed="false">
      <c r="B653" s="36"/>
      <c r="C653" s="36"/>
      <c r="D653" s="34"/>
      <c r="E653" s="34"/>
      <c r="F653" s="32"/>
      <c r="G653" s="32" t="e">
        <f aca="false">G652+#REF!-F653</f>
        <v>#REF!</v>
      </c>
    </row>
    <row r="654" customFormat="false" ht="13" hidden="false" customHeight="false" outlineLevel="0" collapsed="false">
      <c r="B654" s="36"/>
      <c r="C654" s="36"/>
      <c r="D654" s="34"/>
      <c r="E654" s="34"/>
      <c r="F654" s="32"/>
      <c r="G654" s="32" t="e">
        <f aca="false">G653+#REF!-F654</f>
        <v>#REF!</v>
      </c>
    </row>
    <row r="655" customFormat="false" ht="13" hidden="false" customHeight="false" outlineLevel="0" collapsed="false">
      <c r="B655" s="36"/>
      <c r="C655" s="36"/>
      <c r="D655" s="34"/>
      <c r="E655" s="34"/>
      <c r="F655" s="32"/>
      <c r="G655" s="32" t="e">
        <f aca="false">G654+#REF!-F655</f>
        <v>#REF!</v>
      </c>
    </row>
    <row r="656" customFormat="false" ht="13" hidden="false" customHeight="false" outlineLevel="0" collapsed="false">
      <c r="B656" s="36"/>
      <c r="C656" s="36"/>
      <c r="D656" s="34"/>
      <c r="E656" s="34"/>
      <c r="F656" s="32"/>
      <c r="G656" s="32" t="e">
        <f aca="false">G655+#REF!-F656</f>
        <v>#REF!</v>
      </c>
    </row>
    <row r="657" customFormat="false" ht="13" hidden="false" customHeight="false" outlineLevel="0" collapsed="false">
      <c r="B657" s="36"/>
      <c r="C657" s="36"/>
      <c r="D657" s="34"/>
      <c r="E657" s="34"/>
      <c r="F657" s="32"/>
      <c r="G657" s="32" t="e">
        <f aca="false">G656+#REF!-F657</f>
        <v>#REF!</v>
      </c>
    </row>
    <row r="658" customFormat="false" ht="13" hidden="false" customHeight="false" outlineLevel="0" collapsed="false">
      <c r="B658" s="36"/>
      <c r="C658" s="36"/>
      <c r="D658" s="34"/>
      <c r="E658" s="34"/>
      <c r="F658" s="32"/>
      <c r="G658" s="32" t="e">
        <f aca="false">G657+#REF!-F658</f>
        <v>#REF!</v>
      </c>
    </row>
    <row r="659" customFormat="false" ht="13" hidden="false" customHeight="false" outlineLevel="0" collapsed="false">
      <c r="B659" s="36"/>
      <c r="C659" s="36"/>
      <c r="D659" s="34"/>
      <c r="E659" s="34"/>
      <c r="F659" s="32"/>
      <c r="G659" s="32" t="e">
        <f aca="false">G658+#REF!-F659</f>
        <v>#REF!</v>
      </c>
    </row>
    <row r="660" customFormat="false" ht="13" hidden="false" customHeight="false" outlineLevel="0" collapsed="false">
      <c r="B660" s="36"/>
      <c r="C660" s="36"/>
      <c r="D660" s="34"/>
      <c r="E660" s="34"/>
      <c r="F660" s="32"/>
      <c r="G660" s="32" t="e">
        <f aca="false">G659+#REF!-F660</f>
        <v>#REF!</v>
      </c>
    </row>
    <row r="661" customFormat="false" ht="13" hidden="false" customHeight="false" outlineLevel="0" collapsed="false">
      <c r="B661" s="36"/>
      <c r="C661" s="36"/>
      <c r="D661" s="34"/>
      <c r="E661" s="34"/>
      <c r="F661" s="32"/>
      <c r="G661" s="32" t="e">
        <f aca="false">G660+#REF!-F661</f>
        <v>#REF!</v>
      </c>
    </row>
    <row r="662" customFormat="false" ht="13" hidden="false" customHeight="false" outlineLevel="0" collapsed="false">
      <c r="B662" s="36"/>
      <c r="C662" s="36"/>
      <c r="D662" s="34"/>
      <c r="E662" s="34"/>
      <c r="F662" s="32"/>
      <c r="G662" s="32" t="e">
        <f aca="false">G661+#REF!-F662</f>
        <v>#REF!</v>
      </c>
    </row>
    <row r="663" customFormat="false" ht="13" hidden="false" customHeight="false" outlineLevel="0" collapsed="false">
      <c r="B663" s="36"/>
      <c r="C663" s="36"/>
      <c r="D663" s="34"/>
      <c r="E663" s="34"/>
      <c r="F663" s="32"/>
      <c r="G663" s="32" t="e">
        <f aca="false">G662+#REF!-F663</f>
        <v>#REF!</v>
      </c>
    </row>
    <row r="664" customFormat="false" ht="13" hidden="false" customHeight="false" outlineLevel="0" collapsed="false">
      <c r="B664" s="36"/>
      <c r="C664" s="36"/>
      <c r="D664" s="34"/>
      <c r="E664" s="34"/>
      <c r="F664" s="32"/>
      <c r="G664" s="32" t="e">
        <f aca="false">G663+#REF!-F664</f>
        <v>#REF!</v>
      </c>
    </row>
    <row r="665" customFormat="false" ht="13" hidden="false" customHeight="false" outlineLevel="0" collapsed="false">
      <c r="B665" s="36"/>
      <c r="C665" s="36"/>
      <c r="D665" s="34"/>
      <c r="E665" s="34"/>
      <c r="F665" s="32"/>
      <c r="G665" s="32" t="e">
        <f aca="false">G664+#REF!-F665</f>
        <v>#REF!</v>
      </c>
    </row>
    <row r="666" customFormat="false" ht="13" hidden="false" customHeight="false" outlineLevel="0" collapsed="false">
      <c r="B666" s="36"/>
      <c r="C666" s="36"/>
      <c r="D666" s="34"/>
      <c r="E666" s="34"/>
      <c r="F666" s="32"/>
      <c r="G666" s="32" t="e">
        <f aca="false">G665+#REF!-F666</f>
        <v>#REF!</v>
      </c>
    </row>
    <row r="667" customFormat="false" ht="13" hidden="false" customHeight="false" outlineLevel="0" collapsed="false">
      <c r="B667" s="36"/>
      <c r="C667" s="36"/>
      <c r="D667" s="34"/>
      <c r="E667" s="34"/>
      <c r="F667" s="32"/>
      <c r="G667" s="32" t="e">
        <f aca="false">G666+#REF!-F667</f>
        <v>#REF!</v>
      </c>
    </row>
    <row r="668" customFormat="false" ht="13" hidden="false" customHeight="false" outlineLevel="0" collapsed="false">
      <c r="B668" s="36"/>
      <c r="C668" s="36"/>
      <c r="D668" s="34"/>
      <c r="E668" s="34"/>
      <c r="F668" s="32"/>
      <c r="G668" s="32" t="e">
        <f aca="false">G667+#REF!-F668</f>
        <v>#REF!</v>
      </c>
    </row>
    <row r="669" customFormat="false" ht="13" hidden="false" customHeight="false" outlineLevel="0" collapsed="false">
      <c r="B669" s="36"/>
      <c r="C669" s="36"/>
      <c r="D669" s="34"/>
      <c r="E669" s="34"/>
      <c r="F669" s="32"/>
      <c r="G669" s="32" t="e">
        <f aca="false">G668+#REF!-F669</f>
        <v>#REF!</v>
      </c>
    </row>
    <row r="670" customFormat="false" ht="13" hidden="false" customHeight="false" outlineLevel="0" collapsed="false">
      <c r="B670" s="36"/>
      <c r="C670" s="36"/>
      <c r="D670" s="34"/>
      <c r="E670" s="34"/>
      <c r="F670" s="32"/>
      <c r="G670" s="32" t="e">
        <f aca="false">G669+#REF!-F670</f>
        <v>#REF!</v>
      </c>
    </row>
    <row r="671" customFormat="false" ht="13" hidden="false" customHeight="false" outlineLevel="0" collapsed="false">
      <c r="B671" s="36"/>
      <c r="C671" s="36"/>
      <c r="D671" s="34"/>
      <c r="E671" s="34"/>
      <c r="F671" s="32"/>
      <c r="G671" s="32" t="e">
        <f aca="false">G670+#REF!-F671</f>
        <v>#REF!</v>
      </c>
    </row>
    <row r="672" customFormat="false" ht="13" hidden="false" customHeight="false" outlineLevel="0" collapsed="false">
      <c r="B672" s="36"/>
      <c r="C672" s="36"/>
      <c r="D672" s="34"/>
      <c r="E672" s="34"/>
      <c r="F672" s="32"/>
      <c r="G672" s="32" t="e">
        <f aca="false">G671+#REF!-F672</f>
        <v>#REF!</v>
      </c>
    </row>
    <row r="673" customFormat="false" ht="13" hidden="false" customHeight="false" outlineLevel="0" collapsed="false">
      <c r="B673" s="36"/>
      <c r="C673" s="36"/>
      <c r="D673" s="34"/>
      <c r="E673" s="34"/>
      <c r="F673" s="32"/>
      <c r="G673" s="32" t="e">
        <f aca="false">G672+#REF!-F673</f>
        <v>#REF!</v>
      </c>
    </row>
    <row r="674" customFormat="false" ht="13" hidden="false" customHeight="false" outlineLevel="0" collapsed="false">
      <c r="B674" s="36"/>
      <c r="C674" s="36"/>
      <c r="D674" s="34"/>
      <c r="E674" s="34"/>
      <c r="F674" s="32"/>
      <c r="G674" s="32" t="e">
        <f aca="false">G673+#REF!-F674</f>
        <v>#REF!</v>
      </c>
    </row>
    <row r="675" customFormat="false" ht="13" hidden="false" customHeight="false" outlineLevel="0" collapsed="false">
      <c r="B675" s="36"/>
      <c r="C675" s="36"/>
      <c r="D675" s="34"/>
      <c r="E675" s="34"/>
      <c r="F675" s="32"/>
      <c r="G675" s="32" t="e">
        <f aca="false">G674+#REF!-F675</f>
        <v>#REF!</v>
      </c>
    </row>
    <row r="676" customFormat="false" ht="13" hidden="false" customHeight="false" outlineLevel="0" collapsed="false">
      <c r="B676" s="36"/>
      <c r="C676" s="36"/>
      <c r="D676" s="34"/>
      <c r="E676" s="34"/>
      <c r="F676" s="32"/>
      <c r="G676" s="32" t="e">
        <f aca="false">G675+#REF!-F676</f>
        <v>#REF!</v>
      </c>
    </row>
    <row r="677" customFormat="false" ht="13" hidden="false" customHeight="false" outlineLevel="0" collapsed="false">
      <c r="B677" s="36"/>
      <c r="C677" s="36"/>
      <c r="D677" s="34"/>
      <c r="E677" s="34"/>
      <c r="F677" s="32"/>
      <c r="G677" s="32" t="e">
        <f aca="false">G676+#REF!-F677</f>
        <v>#REF!</v>
      </c>
    </row>
    <row r="678" customFormat="false" ht="13" hidden="false" customHeight="false" outlineLevel="0" collapsed="false">
      <c r="B678" s="36"/>
      <c r="C678" s="36"/>
      <c r="D678" s="34"/>
      <c r="E678" s="34"/>
      <c r="F678" s="32"/>
      <c r="G678" s="32" t="e">
        <f aca="false">G677+#REF!-F678</f>
        <v>#REF!</v>
      </c>
    </row>
    <row r="679" customFormat="false" ht="13" hidden="false" customHeight="false" outlineLevel="0" collapsed="false">
      <c r="B679" s="36"/>
      <c r="C679" s="36"/>
      <c r="D679" s="34"/>
      <c r="E679" s="34"/>
      <c r="F679" s="32"/>
      <c r="G679" s="32" t="e">
        <f aca="false">G678+#REF!-F679</f>
        <v>#REF!</v>
      </c>
    </row>
    <row r="680" customFormat="false" ht="13" hidden="false" customHeight="false" outlineLevel="0" collapsed="false">
      <c r="B680" s="36"/>
      <c r="C680" s="36"/>
      <c r="D680" s="34"/>
      <c r="E680" s="34"/>
      <c r="F680" s="32"/>
      <c r="G680" s="32" t="e">
        <f aca="false">G679+#REF!-F680</f>
        <v>#REF!</v>
      </c>
    </row>
    <row r="681" customFormat="false" ht="13" hidden="false" customHeight="false" outlineLevel="0" collapsed="false">
      <c r="B681" s="36"/>
      <c r="C681" s="36"/>
      <c r="D681" s="34"/>
      <c r="E681" s="34"/>
      <c r="F681" s="32"/>
      <c r="G681" s="32" t="e">
        <f aca="false">G680+#REF!-F681</f>
        <v>#REF!</v>
      </c>
    </row>
    <row r="682" customFormat="false" ht="13" hidden="false" customHeight="false" outlineLevel="0" collapsed="false">
      <c r="B682" s="36"/>
      <c r="C682" s="36"/>
      <c r="D682" s="34"/>
      <c r="E682" s="34"/>
      <c r="F682" s="32"/>
      <c r="G682" s="32" t="e">
        <f aca="false">G681+#REF!-F682</f>
        <v>#REF!</v>
      </c>
    </row>
    <row r="683" customFormat="false" ht="13" hidden="false" customHeight="false" outlineLevel="0" collapsed="false">
      <c r="B683" s="36"/>
      <c r="C683" s="36"/>
      <c r="D683" s="34"/>
      <c r="E683" s="34"/>
      <c r="F683" s="32"/>
      <c r="G683" s="32" t="e">
        <f aca="false">G682+#REF!-F683</f>
        <v>#REF!</v>
      </c>
    </row>
    <row r="684" customFormat="false" ht="13" hidden="false" customHeight="false" outlineLevel="0" collapsed="false">
      <c r="B684" s="36"/>
      <c r="C684" s="36"/>
      <c r="D684" s="34"/>
      <c r="E684" s="34"/>
      <c r="F684" s="32"/>
      <c r="G684" s="32" t="e">
        <f aca="false">G683+#REF!-F684</f>
        <v>#REF!</v>
      </c>
    </row>
    <row r="685" customFormat="false" ht="13" hidden="false" customHeight="false" outlineLevel="0" collapsed="false">
      <c r="B685" s="36"/>
      <c r="C685" s="36"/>
      <c r="D685" s="34"/>
      <c r="E685" s="34"/>
      <c r="F685" s="32"/>
      <c r="G685" s="32" t="e">
        <f aca="false">G684+#REF!-F685</f>
        <v>#REF!</v>
      </c>
    </row>
    <row r="686" customFormat="false" ht="13" hidden="false" customHeight="false" outlineLevel="0" collapsed="false">
      <c r="B686" s="36"/>
      <c r="C686" s="36"/>
      <c r="D686" s="34"/>
      <c r="E686" s="34"/>
      <c r="F686" s="32"/>
      <c r="G686" s="32" t="e">
        <f aca="false">G685+#REF!-F686</f>
        <v>#REF!</v>
      </c>
    </row>
    <row r="687" customFormat="false" ht="13" hidden="false" customHeight="false" outlineLevel="0" collapsed="false">
      <c r="B687" s="36"/>
      <c r="C687" s="36"/>
      <c r="D687" s="34"/>
      <c r="E687" s="34"/>
      <c r="F687" s="32"/>
      <c r="G687" s="32" t="e">
        <f aca="false">G686+#REF!-F687</f>
        <v>#REF!</v>
      </c>
    </row>
    <row r="688" customFormat="false" ht="13" hidden="false" customHeight="false" outlineLevel="0" collapsed="false">
      <c r="B688" s="36"/>
      <c r="C688" s="36"/>
      <c r="D688" s="34"/>
      <c r="E688" s="34"/>
      <c r="F688" s="32"/>
      <c r="G688" s="32" t="e">
        <f aca="false">G687+#REF!-F688</f>
        <v>#REF!</v>
      </c>
    </row>
    <row r="689" customFormat="false" ht="13" hidden="false" customHeight="false" outlineLevel="0" collapsed="false">
      <c r="B689" s="36"/>
      <c r="C689" s="36"/>
      <c r="D689" s="34"/>
      <c r="E689" s="34"/>
      <c r="F689" s="32"/>
      <c r="G689" s="32" t="e">
        <f aca="false">G688+#REF!-F689</f>
        <v>#REF!</v>
      </c>
    </row>
    <row r="690" customFormat="false" ht="13" hidden="false" customHeight="false" outlineLevel="0" collapsed="false">
      <c r="B690" s="36"/>
      <c r="C690" s="36"/>
      <c r="D690" s="34"/>
      <c r="E690" s="34"/>
      <c r="F690" s="32"/>
      <c r="G690" s="32" t="e">
        <f aca="false">G689+#REF!-F690</f>
        <v>#REF!</v>
      </c>
    </row>
    <row r="691" customFormat="false" ht="13" hidden="false" customHeight="false" outlineLevel="0" collapsed="false">
      <c r="B691" s="36"/>
      <c r="C691" s="36"/>
      <c r="D691" s="34"/>
      <c r="E691" s="34"/>
      <c r="F691" s="32"/>
      <c r="G691" s="32" t="e">
        <f aca="false">G690+#REF!-F691</f>
        <v>#REF!</v>
      </c>
    </row>
    <row r="692" customFormat="false" ht="13" hidden="false" customHeight="false" outlineLevel="0" collapsed="false">
      <c r="B692" s="36"/>
      <c r="C692" s="36"/>
      <c r="D692" s="34"/>
      <c r="E692" s="34"/>
      <c r="F692" s="32"/>
      <c r="G692" s="32" t="e">
        <f aca="false">G691+#REF!-F692</f>
        <v>#REF!</v>
      </c>
    </row>
    <row r="693" customFormat="false" ht="13" hidden="false" customHeight="false" outlineLevel="0" collapsed="false">
      <c r="B693" s="36"/>
      <c r="C693" s="36"/>
      <c r="D693" s="34"/>
      <c r="E693" s="34"/>
      <c r="F693" s="32"/>
      <c r="G693" s="32" t="e">
        <f aca="false">G692+#REF!-F693</f>
        <v>#REF!</v>
      </c>
    </row>
    <row r="694" customFormat="false" ht="13" hidden="false" customHeight="false" outlineLevel="0" collapsed="false">
      <c r="B694" s="36"/>
      <c r="C694" s="36"/>
      <c r="D694" s="34"/>
      <c r="E694" s="34"/>
      <c r="F694" s="32"/>
      <c r="G694" s="32" t="e">
        <f aca="false">G693+#REF!-F694</f>
        <v>#REF!</v>
      </c>
    </row>
    <row r="695" customFormat="false" ht="13" hidden="false" customHeight="false" outlineLevel="0" collapsed="false">
      <c r="B695" s="36"/>
      <c r="C695" s="36"/>
      <c r="D695" s="34"/>
      <c r="E695" s="34"/>
      <c r="F695" s="32"/>
      <c r="G695" s="32" t="e">
        <f aca="false">G694+#REF!-F695</f>
        <v>#REF!</v>
      </c>
    </row>
    <row r="696" customFormat="false" ht="13" hidden="false" customHeight="false" outlineLevel="0" collapsed="false">
      <c r="B696" s="36"/>
      <c r="C696" s="36"/>
      <c r="D696" s="34"/>
      <c r="E696" s="34"/>
      <c r="F696" s="32"/>
      <c r="G696" s="32" t="e">
        <f aca="false">G695+#REF!-F696</f>
        <v>#REF!</v>
      </c>
    </row>
    <row r="697" customFormat="false" ht="13" hidden="false" customHeight="false" outlineLevel="0" collapsed="false">
      <c r="B697" s="36"/>
      <c r="C697" s="36"/>
      <c r="D697" s="34"/>
      <c r="E697" s="34"/>
      <c r="F697" s="32"/>
      <c r="G697" s="32" t="e">
        <f aca="false">G696+#REF!-F697</f>
        <v>#REF!</v>
      </c>
    </row>
    <row r="698" customFormat="false" ht="13" hidden="false" customHeight="false" outlineLevel="0" collapsed="false">
      <c r="B698" s="36"/>
      <c r="C698" s="36"/>
      <c r="D698" s="34"/>
      <c r="E698" s="34"/>
      <c r="F698" s="32"/>
      <c r="G698" s="32" t="e">
        <f aca="false">G697+#REF!-F698</f>
        <v>#REF!</v>
      </c>
    </row>
    <row r="699" customFormat="false" ht="13" hidden="false" customHeight="false" outlineLevel="0" collapsed="false">
      <c r="B699" s="36"/>
      <c r="C699" s="36"/>
      <c r="D699" s="34"/>
      <c r="E699" s="34"/>
      <c r="F699" s="32"/>
      <c r="G699" s="32" t="e">
        <f aca="false">G698+#REF!-F699</f>
        <v>#REF!</v>
      </c>
    </row>
    <row r="700" customFormat="false" ht="13" hidden="false" customHeight="false" outlineLevel="0" collapsed="false">
      <c r="B700" s="36"/>
      <c r="C700" s="36"/>
      <c r="D700" s="34"/>
      <c r="E700" s="34"/>
      <c r="F700" s="32"/>
      <c r="G700" s="32" t="e">
        <f aca="false">G699+#REF!-F700</f>
        <v>#REF!</v>
      </c>
    </row>
    <row r="701" customFormat="false" ht="13" hidden="false" customHeight="false" outlineLevel="0" collapsed="false">
      <c r="B701" s="36"/>
      <c r="C701" s="36"/>
      <c r="D701" s="34"/>
      <c r="E701" s="34"/>
      <c r="F701" s="32"/>
      <c r="G701" s="32" t="e">
        <f aca="false">G700+#REF!-F701</f>
        <v>#REF!</v>
      </c>
    </row>
    <row r="702" customFormat="false" ht="13" hidden="false" customHeight="false" outlineLevel="0" collapsed="false">
      <c r="B702" s="36"/>
      <c r="C702" s="36"/>
      <c r="D702" s="34"/>
      <c r="E702" s="34"/>
      <c r="F702" s="32"/>
      <c r="G702" s="32" t="e">
        <f aca="false">G701+#REF!-F702</f>
        <v>#REF!</v>
      </c>
    </row>
    <row r="703" customFormat="false" ht="13" hidden="false" customHeight="false" outlineLevel="0" collapsed="false">
      <c r="B703" s="36"/>
      <c r="C703" s="36"/>
      <c r="D703" s="34"/>
      <c r="E703" s="34"/>
      <c r="F703" s="32"/>
      <c r="G703" s="32" t="e">
        <f aca="false">G702+#REF!-F703</f>
        <v>#REF!</v>
      </c>
    </row>
    <row r="704" customFormat="false" ht="13" hidden="false" customHeight="false" outlineLevel="0" collapsed="false">
      <c r="B704" s="36"/>
      <c r="C704" s="36"/>
      <c r="D704" s="34"/>
      <c r="E704" s="34"/>
      <c r="F704" s="32"/>
      <c r="G704" s="32" t="e">
        <f aca="false">G703+#REF!-F704</f>
        <v>#REF!</v>
      </c>
    </row>
    <row r="705" customFormat="false" ht="13" hidden="false" customHeight="false" outlineLevel="0" collapsed="false">
      <c r="B705" s="36"/>
      <c r="C705" s="36"/>
      <c r="D705" s="34"/>
      <c r="E705" s="34"/>
      <c r="F705" s="32"/>
      <c r="G705" s="32" t="e">
        <f aca="false">G704+#REF!-F705</f>
        <v>#REF!</v>
      </c>
    </row>
    <row r="706" customFormat="false" ht="13" hidden="false" customHeight="false" outlineLevel="0" collapsed="false">
      <c r="B706" s="36"/>
      <c r="C706" s="36"/>
      <c r="D706" s="34"/>
      <c r="E706" s="34"/>
      <c r="F706" s="32"/>
      <c r="G706" s="32" t="e">
        <f aca="false">G705+#REF!-F706</f>
        <v>#REF!</v>
      </c>
    </row>
    <row r="707" customFormat="false" ht="13" hidden="false" customHeight="false" outlineLevel="0" collapsed="false">
      <c r="B707" s="36"/>
      <c r="C707" s="36"/>
      <c r="D707" s="34"/>
      <c r="E707" s="34"/>
      <c r="F707" s="32"/>
      <c r="G707" s="32" t="e">
        <f aca="false">G706+#REF!-F707</f>
        <v>#REF!</v>
      </c>
    </row>
    <row r="708" customFormat="false" ht="13" hidden="false" customHeight="false" outlineLevel="0" collapsed="false">
      <c r="B708" s="36"/>
      <c r="C708" s="36"/>
      <c r="D708" s="34"/>
      <c r="E708" s="34"/>
      <c r="F708" s="32"/>
      <c r="G708" s="32" t="e">
        <f aca="false">G707+#REF!-F708</f>
        <v>#REF!</v>
      </c>
    </row>
    <row r="709" customFormat="false" ht="13" hidden="false" customHeight="false" outlineLevel="0" collapsed="false">
      <c r="B709" s="36"/>
      <c r="C709" s="36"/>
      <c r="D709" s="34"/>
      <c r="E709" s="34"/>
      <c r="F709" s="32"/>
      <c r="G709" s="32" t="e">
        <f aca="false">G708+#REF!-F709</f>
        <v>#REF!</v>
      </c>
    </row>
    <row r="710" customFormat="false" ht="13" hidden="false" customHeight="false" outlineLevel="0" collapsed="false">
      <c r="B710" s="36"/>
      <c r="C710" s="36"/>
      <c r="D710" s="34"/>
      <c r="E710" s="34"/>
      <c r="F710" s="32"/>
      <c r="G710" s="32" t="e">
        <f aca="false">G709+#REF!-F710</f>
        <v>#REF!</v>
      </c>
    </row>
    <row r="711" customFormat="false" ht="13" hidden="false" customHeight="false" outlineLevel="0" collapsed="false">
      <c r="B711" s="36"/>
      <c r="C711" s="36"/>
      <c r="D711" s="34"/>
      <c r="E711" s="34"/>
      <c r="F711" s="32"/>
      <c r="G711" s="32" t="e">
        <f aca="false">G710+#REF!-F711</f>
        <v>#REF!</v>
      </c>
    </row>
    <row r="712" customFormat="false" ht="13" hidden="false" customHeight="false" outlineLevel="0" collapsed="false">
      <c r="B712" s="36"/>
      <c r="C712" s="36"/>
      <c r="D712" s="34"/>
      <c r="E712" s="34"/>
      <c r="F712" s="32"/>
      <c r="G712" s="32" t="e">
        <f aca="false">G711+#REF!-F712</f>
        <v>#REF!</v>
      </c>
    </row>
    <row r="713" customFormat="false" ht="13" hidden="false" customHeight="false" outlineLevel="0" collapsed="false">
      <c r="B713" s="36"/>
      <c r="C713" s="36"/>
      <c r="D713" s="34"/>
      <c r="E713" s="34"/>
      <c r="F713" s="32"/>
      <c r="G713" s="32" t="e">
        <f aca="false">G712+#REF!-F713</f>
        <v>#REF!</v>
      </c>
    </row>
    <row r="714" customFormat="false" ht="13" hidden="false" customHeight="false" outlineLevel="0" collapsed="false">
      <c r="B714" s="36"/>
      <c r="C714" s="36"/>
      <c r="D714" s="34"/>
      <c r="E714" s="34"/>
      <c r="F714" s="32"/>
      <c r="G714" s="32" t="e">
        <f aca="false">G713+#REF!-F714</f>
        <v>#REF!</v>
      </c>
    </row>
    <row r="715" customFormat="false" ht="13" hidden="false" customHeight="false" outlineLevel="0" collapsed="false">
      <c r="B715" s="36"/>
      <c r="C715" s="36"/>
      <c r="D715" s="34"/>
      <c r="E715" s="34"/>
      <c r="F715" s="32"/>
      <c r="G715" s="32" t="e">
        <f aca="false">G714+#REF!-F715</f>
        <v>#REF!</v>
      </c>
    </row>
    <row r="716" customFormat="false" ht="13" hidden="false" customHeight="false" outlineLevel="0" collapsed="false">
      <c r="B716" s="36"/>
      <c r="C716" s="36"/>
      <c r="D716" s="34"/>
      <c r="E716" s="34"/>
      <c r="F716" s="32"/>
      <c r="G716" s="32" t="e">
        <f aca="false">G715+#REF!-F716</f>
        <v>#REF!</v>
      </c>
    </row>
    <row r="717" customFormat="false" ht="13" hidden="false" customHeight="false" outlineLevel="0" collapsed="false">
      <c r="B717" s="36"/>
      <c r="C717" s="36"/>
      <c r="D717" s="34"/>
      <c r="E717" s="34"/>
      <c r="F717" s="32"/>
      <c r="G717" s="32" t="e">
        <f aca="false">G716+#REF!-F717</f>
        <v>#REF!</v>
      </c>
    </row>
    <row r="718" customFormat="false" ht="13" hidden="false" customHeight="false" outlineLevel="0" collapsed="false">
      <c r="B718" s="36"/>
      <c r="C718" s="36"/>
      <c r="D718" s="34"/>
      <c r="E718" s="34"/>
      <c r="F718" s="32"/>
      <c r="G718" s="32" t="e">
        <f aca="false">G717+#REF!-F718</f>
        <v>#REF!</v>
      </c>
    </row>
    <row r="719" customFormat="false" ht="13" hidden="false" customHeight="false" outlineLevel="0" collapsed="false">
      <c r="B719" s="36"/>
      <c r="C719" s="36"/>
      <c r="D719" s="34"/>
      <c r="E719" s="34"/>
      <c r="F719" s="32"/>
      <c r="G719" s="32" t="e">
        <f aca="false">G718+#REF!-F719</f>
        <v>#REF!</v>
      </c>
    </row>
    <row r="720" customFormat="false" ht="13" hidden="false" customHeight="false" outlineLevel="0" collapsed="false">
      <c r="B720" s="36"/>
      <c r="C720" s="36"/>
      <c r="D720" s="34"/>
      <c r="E720" s="34"/>
      <c r="F720" s="32"/>
      <c r="G720" s="32" t="e">
        <f aca="false">G719+#REF!-F720</f>
        <v>#REF!</v>
      </c>
    </row>
    <row r="721" customFormat="false" ht="13" hidden="false" customHeight="false" outlineLevel="0" collapsed="false">
      <c r="B721" s="36"/>
      <c r="C721" s="36"/>
      <c r="D721" s="34"/>
      <c r="E721" s="34"/>
      <c r="F721" s="32"/>
      <c r="G721" s="32" t="e">
        <f aca="false">G720+#REF!-F721</f>
        <v>#REF!</v>
      </c>
    </row>
    <row r="722" customFormat="false" ht="13" hidden="false" customHeight="false" outlineLevel="0" collapsed="false">
      <c r="B722" s="36"/>
      <c r="C722" s="36"/>
      <c r="D722" s="34"/>
      <c r="E722" s="34"/>
      <c r="F722" s="32"/>
      <c r="G722" s="32" t="e">
        <f aca="false">G721+#REF!-F722</f>
        <v>#REF!</v>
      </c>
    </row>
    <row r="723" customFormat="false" ht="13" hidden="false" customHeight="false" outlineLevel="0" collapsed="false">
      <c r="B723" s="36"/>
      <c r="C723" s="36"/>
      <c r="D723" s="34"/>
      <c r="E723" s="34"/>
      <c r="F723" s="32"/>
      <c r="G723" s="32" t="e">
        <f aca="false">G722+#REF!-F723</f>
        <v>#REF!</v>
      </c>
    </row>
    <row r="724" customFormat="false" ht="13" hidden="false" customHeight="false" outlineLevel="0" collapsed="false">
      <c r="B724" s="36"/>
      <c r="C724" s="36"/>
      <c r="D724" s="34"/>
      <c r="E724" s="34"/>
      <c r="F724" s="32"/>
      <c r="G724" s="32" t="e">
        <f aca="false">G723+#REF!-F724</f>
        <v>#REF!</v>
      </c>
    </row>
    <row r="725" customFormat="false" ht="13" hidden="false" customHeight="false" outlineLevel="0" collapsed="false">
      <c r="B725" s="36"/>
      <c r="C725" s="36"/>
      <c r="D725" s="34"/>
      <c r="E725" s="34"/>
      <c r="F725" s="32"/>
      <c r="G725" s="32" t="e">
        <f aca="false">G724+#REF!-F725</f>
        <v>#REF!</v>
      </c>
    </row>
    <row r="726" customFormat="false" ht="13" hidden="false" customHeight="false" outlineLevel="0" collapsed="false">
      <c r="B726" s="36"/>
      <c r="C726" s="36"/>
      <c r="D726" s="34"/>
      <c r="E726" s="34"/>
      <c r="F726" s="32"/>
      <c r="G726" s="32" t="e">
        <f aca="false">G725+#REF!-F726</f>
        <v>#REF!</v>
      </c>
    </row>
    <row r="727" customFormat="false" ht="13" hidden="false" customHeight="false" outlineLevel="0" collapsed="false">
      <c r="B727" s="36"/>
      <c r="C727" s="36"/>
      <c r="D727" s="34"/>
      <c r="E727" s="34"/>
      <c r="F727" s="32"/>
      <c r="G727" s="32" t="e">
        <f aca="false">G726+#REF!-F727</f>
        <v>#REF!</v>
      </c>
    </row>
    <row r="728" customFormat="false" ht="13" hidden="false" customHeight="false" outlineLevel="0" collapsed="false">
      <c r="B728" s="36"/>
      <c r="C728" s="36"/>
      <c r="D728" s="34"/>
      <c r="E728" s="34"/>
      <c r="F728" s="32"/>
      <c r="G728" s="32" t="e">
        <f aca="false">G727+#REF!-F728</f>
        <v>#REF!</v>
      </c>
    </row>
    <row r="729" customFormat="false" ht="13" hidden="false" customHeight="false" outlineLevel="0" collapsed="false">
      <c r="B729" s="36"/>
      <c r="C729" s="36"/>
      <c r="D729" s="34"/>
      <c r="E729" s="34"/>
      <c r="F729" s="32"/>
      <c r="G729" s="32" t="e">
        <f aca="false">G728+#REF!-F729</f>
        <v>#REF!</v>
      </c>
    </row>
    <row r="730" customFormat="false" ht="13" hidden="false" customHeight="false" outlineLevel="0" collapsed="false">
      <c r="B730" s="36"/>
      <c r="C730" s="36"/>
      <c r="D730" s="34"/>
      <c r="E730" s="34"/>
      <c r="F730" s="32"/>
      <c r="G730" s="32" t="e">
        <f aca="false">G729+#REF!-F730</f>
        <v>#REF!</v>
      </c>
    </row>
    <row r="731" customFormat="false" ht="13" hidden="false" customHeight="false" outlineLevel="0" collapsed="false">
      <c r="B731" s="36"/>
      <c r="C731" s="36"/>
      <c r="D731" s="34"/>
      <c r="E731" s="34"/>
      <c r="F731" s="32"/>
      <c r="G731" s="32" t="e">
        <f aca="false">G730+#REF!-F731</f>
        <v>#REF!</v>
      </c>
    </row>
    <row r="732" customFormat="false" ht="13" hidden="false" customHeight="false" outlineLevel="0" collapsed="false">
      <c r="B732" s="36"/>
      <c r="C732" s="36"/>
      <c r="D732" s="34"/>
      <c r="E732" s="34"/>
      <c r="F732" s="32"/>
      <c r="G732" s="32" t="e">
        <f aca="false">G731+#REF!-F732</f>
        <v>#REF!</v>
      </c>
    </row>
    <row r="733" customFormat="false" ht="13" hidden="false" customHeight="false" outlineLevel="0" collapsed="false">
      <c r="B733" s="36"/>
      <c r="C733" s="36"/>
      <c r="D733" s="34"/>
      <c r="E733" s="34"/>
      <c r="F733" s="32"/>
      <c r="G733" s="32" t="e">
        <f aca="false">G732+#REF!-F733</f>
        <v>#REF!</v>
      </c>
    </row>
    <row r="734" customFormat="false" ht="13" hidden="false" customHeight="false" outlineLevel="0" collapsed="false">
      <c r="B734" s="36"/>
      <c r="C734" s="36"/>
      <c r="D734" s="34"/>
      <c r="E734" s="34"/>
      <c r="F734" s="32"/>
      <c r="G734" s="32" t="e">
        <f aca="false">G733+#REF!-F734</f>
        <v>#REF!</v>
      </c>
    </row>
    <row r="735" customFormat="false" ht="13" hidden="false" customHeight="false" outlineLevel="0" collapsed="false">
      <c r="B735" s="36"/>
      <c r="C735" s="36"/>
      <c r="D735" s="34"/>
      <c r="E735" s="34"/>
      <c r="F735" s="32"/>
      <c r="G735" s="32" t="e">
        <f aca="false">G734+#REF!-F735</f>
        <v>#REF!</v>
      </c>
    </row>
    <row r="736" customFormat="false" ht="13" hidden="false" customHeight="false" outlineLevel="0" collapsed="false">
      <c r="B736" s="36"/>
      <c r="C736" s="36"/>
      <c r="D736" s="34"/>
      <c r="E736" s="34"/>
      <c r="F736" s="32"/>
      <c r="G736" s="32" t="e">
        <f aca="false">G735+#REF!-F736</f>
        <v>#REF!</v>
      </c>
    </row>
    <row r="737" customFormat="false" ht="13" hidden="false" customHeight="false" outlineLevel="0" collapsed="false">
      <c r="B737" s="36"/>
      <c r="C737" s="36"/>
      <c r="D737" s="34"/>
      <c r="E737" s="34"/>
      <c r="F737" s="32"/>
      <c r="G737" s="32" t="e">
        <f aca="false">G736+#REF!-F737</f>
        <v>#REF!</v>
      </c>
    </row>
    <row r="738" customFormat="false" ht="13" hidden="false" customHeight="false" outlineLevel="0" collapsed="false">
      <c r="B738" s="36"/>
      <c r="C738" s="36"/>
      <c r="D738" s="34"/>
      <c r="E738" s="34"/>
      <c r="F738" s="32"/>
      <c r="G738" s="32" t="e">
        <f aca="false">G737+#REF!-F738</f>
        <v>#REF!</v>
      </c>
    </row>
    <row r="739" customFormat="false" ht="13" hidden="false" customHeight="false" outlineLevel="0" collapsed="false">
      <c r="B739" s="36"/>
      <c r="C739" s="36"/>
      <c r="D739" s="34"/>
      <c r="E739" s="34"/>
      <c r="F739" s="32"/>
      <c r="G739" s="32" t="e">
        <f aca="false">G738+#REF!-F739</f>
        <v>#REF!</v>
      </c>
    </row>
    <row r="740" customFormat="false" ht="13" hidden="false" customHeight="false" outlineLevel="0" collapsed="false">
      <c r="B740" s="36"/>
      <c r="C740" s="36"/>
      <c r="D740" s="34"/>
      <c r="E740" s="34"/>
      <c r="F740" s="32"/>
      <c r="G740" s="32" t="e">
        <f aca="false">G739+#REF!-F740</f>
        <v>#REF!</v>
      </c>
    </row>
    <row r="741" customFormat="false" ht="13" hidden="false" customHeight="false" outlineLevel="0" collapsed="false">
      <c r="B741" s="36"/>
      <c r="C741" s="36"/>
      <c r="D741" s="34"/>
      <c r="E741" s="34"/>
      <c r="F741" s="32"/>
      <c r="G741" s="32" t="e">
        <f aca="false">G740+#REF!-F741</f>
        <v>#REF!</v>
      </c>
    </row>
    <row r="742" customFormat="false" ht="13" hidden="false" customHeight="false" outlineLevel="0" collapsed="false">
      <c r="B742" s="36"/>
      <c r="C742" s="36"/>
      <c r="D742" s="34"/>
      <c r="E742" s="34"/>
      <c r="F742" s="32"/>
      <c r="G742" s="32" t="e">
        <f aca="false">G741+#REF!-F742</f>
        <v>#REF!</v>
      </c>
    </row>
    <row r="743" customFormat="false" ht="13" hidden="false" customHeight="false" outlineLevel="0" collapsed="false">
      <c r="B743" s="36"/>
      <c r="C743" s="36"/>
      <c r="D743" s="34"/>
      <c r="E743" s="34"/>
      <c r="F743" s="32"/>
      <c r="G743" s="32" t="e">
        <f aca="false">G742+#REF!-F743</f>
        <v>#REF!</v>
      </c>
    </row>
    <row r="744" customFormat="false" ht="13" hidden="false" customHeight="false" outlineLevel="0" collapsed="false">
      <c r="B744" s="36"/>
      <c r="C744" s="36"/>
      <c r="D744" s="34"/>
      <c r="E744" s="34"/>
      <c r="F744" s="32"/>
      <c r="G744" s="32" t="e">
        <f aca="false">G743+#REF!-F744</f>
        <v>#REF!</v>
      </c>
    </row>
    <row r="745" customFormat="false" ht="13" hidden="false" customHeight="false" outlineLevel="0" collapsed="false">
      <c r="B745" s="36"/>
      <c r="C745" s="36"/>
      <c r="D745" s="34"/>
      <c r="E745" s="34"/>
      <c r="F745" s="32"/>
      <c r="G745" s="32" t="e">
        <f aca="false">G744+#REF!-F745</f>
        <v>#REF!</v>
      </c>
    </row>
    <row r="746" customFormat="false" ht="13" hidden="false" customHeight="false" outlineLevel="0" collapsed="false">
      <c r="B746" s="36"/>
      <c r="C746" s="36"/>
      <c r="D746" s="34"/>
      <c r="E746" s="34"/>
      <c r="F746" s="32"/>
      <c r="G746" s="32" t="e">
        <f aca="false">G745+#REF!-F746</f>
        <v>#REF!</v>
      </c>
    </row>
    <row r="747" customFormat="false" ht="13" hidden="false" customHeight="false" outlineLevel="0" collapsed="false">
      <c r="B747" s="36"/>
      <c r="C747" s="36"/>
      <c r="D747" s="34"/>
      <c r="E747" s="34"/>
      <c r="F747" s="32"/>
      <c r="G747" s="32" t="e">
        <f aca="false">G746+#REF!-F747</f>
        <v>#REF!</v>
      </c>
    </row>
    <row r="748" customFormat="false" ht="13" hidden="false" customHeight="false" outlineLevel="0" collapsed="false">
      <c r="B748" s="36"/>
      <c r="C748" s="36"/>
      <c r="D748" s="34"/>
      <c r="E748" s="34"/>
      <c r="F748" s="32"/>
      <c r="G748" s="32" t="e">
        <f aca="false">G747+#REF!-F748</f>
        <v>#REF!</v>
      </c>
    </row>
    <row r="749" customFormat="false" ht="13" hidden="false" customHeight="false" outlineLevel="0" collapsed="false">
      <c r="B749" s="36"/>
      <c r="C749" s="36"/>
      <c r="D749" s="34"/>
      <c r="E749" s="34"/>
      <c r="F749" s="32"/>
      <c r="G749" s="32" t="e">
        <f aca="false">G748+#REF!-F749</f>
        <v>#REF!</v>
      </c>
    </row>
    <row r="750" customFormat="false" ht="13" hidden="false" customHeight="false" outlineLevel="0" collapsed="false">
      <c r="B750" s="36"/>
      <c r="C750" s="36"/>
      <c r="D750" s="34"/>
      <c r="E750" s="34"/>
      <c r="F750" s="32"/>
      <c r="G750" s="32" t="e">
        <f aca="false">G749+#REF!-F750</f>
        <v>#REF!</v>
      </c>
    </row>
    <row r="751" customFormat="false" ht="13" hidden="false" customHeight="false" outlineLevel="0" collapsed="false">
      <c r="B751" s="36"/>
      <c r="C751" s="36"/>
      <c r="D751" s="34"/>
      <c r="E751" s="34"/>
      <c r="F751" s="32"/>
      <c r="G751" s="32" t="e">
        <f aca="false">G750+#REF!-F751</f>
        <v>#REF!</v>
      </c>
    </row>
    <row r="752" customFormat="false" ht="13" hidden="false" customHeight="false" outlineLevel="0" collapsed="false">
      <c r="B752" s="36"/>
      <c r="C752" s="36"/>
      <c r="D752" s="34"/>
      <c r="E752" s="34"/>
      <c r="F752" s="32"/>
      <c r="G752" s="32" t="e">
        <f aca="false">G751+#REF!-F752</f>
        <v>#REF!</v>
      </c>
    </row>
    <row r="753" customFormat="false" ht="13" hidden="false" customHeight="false" outlineLevel="0" collapsed="false">
      <c r="B753" s="36"/>
      <c r="C753" s="36"/>
      <c r="D753" s="34"/>
      <c r="E753" s="34"/>
      <c r="F753" s="32"/>
      <c r="G753" s="32" t="e">
        <f aca="false">G752+#REF!-F753</f>
        <v>#REF!</v>
      </c>
    </row>
    <row r="754" customFormat="false" ht="13" hidden="false" customHeight="false" outlineLevel="0" collapsed="false">
      <c r="B754" s="36"/>
      <c r="C754" s="36"/>
      <c r="D754" s="34"/>
      <c r="E754" s="34"/>
      <c r="F754" s="32"/>
      <c r="G754" s="32" t="e">
        <f aca="false">G753+#REF!-F754</f>
        <v>#REF!</v>
      </c>
    </row>
    <row r="755" customFormat="false" ht="13" hidden="false" customHeight="false" outlineLevel="0" collapsed="false">
      <c r="B755" s="36"/>
      <c r="C755" s="36"/>
      <c r="D755" s="34"/>
      <c r="E755" s="34"/>
      <c r="F755" s="32"/>
      <c r="G755" s="32" t="e">
        <f aca="false">G754+#REF!-F755</f>
        <v>#REF!</v>
      </c>
    </row>
    <row r="756" customFormat="false" ht="13" hidden="false" customHeight="false" outlineLevel="0" collapsed="false">
      <c r="B756" s="36"/>
      <c r="C756" s="36"/>
      <c r="D756" s="34"/>
      <c r="E756" s="34"/>
      <c r="F756" s="32"/>
      <c r="G756" s="32" t="e">
        <f aca="false">G755+#REF!-F756</f>
        <v>#REF!</v>
      </c>
    </row>
    <row r="757" customFormat="false" ht="13" hidden="false" customHeight="false" outlineLevel="0" collapsed="false">
      <c r="B757" s="36"/>
      <c r="C757" s="36"/>
      <c r="D757" s="34"/>
      <c r="E757" s="34"/>
      <c r="F757" s="32"/>
      <c r="G757" s="32" t="e">
        <f aca="false">G756+#REF!-F757</f>
        <v>#REF!</v>
      </c>
    </row>
    <row r="758" customFormat="false" ht="13" hidden="false" customHeight="false" outlineLevel="0" collapsed="false">
      <c r="B758" s="36"/>
      <c r="C758" s="36"/>
      <c r="D758" s="34"/>
      <c r="E758" s="34"/>
      <c r="F758" s="32"/>
      <c r="G758" s="32" t="e">
        <f aca="false">G757+#REF!-F758</f>
        <v>#REF!</v>
      </c>
    </row>
    <row r="759" customFormat="false" ht="13" hidden="false" customHeight="false" outlineLevel="0" collapsed="false">
      <c r="B759" s="36"/>
      <c r="C759" s="36"/>
      <c r="D759" s="34"/>
      <c r="E759" s="34"/>
      <c r="F759" s="32"/>
      <c r="G759" s="32" t="e">
        <f aca="false">G758+#REF!-F759</f>
        <v>#REF!</v>
      </c>
    </row>
    <row r="760" customFormat="false" ht="13" hidden="false" customHeight="false" outlineLevel="0" collapsed="false">
      <c r="B760" s="36"/>
      <c r="C760" s="36"/>
      <c r="D760" s="34"/>
      <c r="E760" s="34"/>
      <c r="F760" s="32"/>
      <c r="G760" s="32" t="e">
        <f aca="false">G759+#REF!-F760</f>
        <v>#REF!</v>
      </c>
    </row>
    <row r="761" customFormat="false" ht="13" hidden="false" customHeight="false" outlineLevel="0" collapsed="false">
      <c r="B761" s="36"/>
      <c r="C761" s="36"/>
      <c r="D761" s="34"/>
      <c r="E761" s="34"/>
      <c r="F761" s="32"/>
      <c r="G761" s="32" t="e">
        <f aca="false">G760+#REF!-F761</f>
        <v>#REF!</v>
      </c>
    </row>
    <row r="762" customFormat="false" ht="13" hidden="false" customHeight="false" outlineLevel="0" collapsed="false">
      <c r="B762" s="36"/>
      <c r="C762" s="36"/>
      <c r="D762" s="34"/>
      <c r="E762" s="34"/>
      <c r="F762" s="32"/>
      <c r="G762" s="32" t="e">
        <f aca="false">G761+#REF!-F762</f>
        <v>#REF!</v>
      </c>
    </row>
    <row r="763" customFormat="false" ht="13" hidden="false" customHeight="false" outlineLevel="0" collapsed="false">
      <c r="B763" s="36"/>
      <c r="C763" s="36"/>
      <c r="D763" s="34"/>
      <c r="E763" s="34"/>
      <c r="F763" s="32"/>
      <c r="G763" s="32" t="e">
        <f aca="false">G762+#REF!-F763</f>
        <v>#REF!</v>
      </c>
    </row>
    <row r="764" customFormat="false" ht="13" hidden="false" customHeight="false" outlineLevel="0" collapsed="false">
      <c r="B764" s="36"/>
      <c r="C764" s="36"/>
      <c r="D764" s="34"/>
      <c r="E764" s="34"/>
      <c r="F764" s="32"/>
      <c r="G764" s="32" t="e">
        <f aca="false">G763+#REF!-F764</f>
        <v>#REF!</v>
      </c>
    </row>
    <row r="765" customFormat="false" ht="13" hidden="false" customHeight="false" outlineLevel="0" collapsed="false">
      <c r="B765" s="36"/>
      <c r="C765" s="36"/>
      <c r="D765" s="34"/>
      <c r="E765" s="34"/>
      <c r="F765" s="32"/>
      <c r="G765" s="32" t="e">
        <f aca="false">G764+#REF!-F765</f>
        <v>#REF!</v>
      </c>
    </row>
    <row r="766" customFormat="false" ht="13" hidden="false" customHeight="false" outlineLevel="0" collapsed="false">
      <c r="B766" s="36"/>
      <c r="C766" s="36"/>
      <c r="D766" s="34"/>
      <c r="E766" s="34"/>
      <c r="F766" s="32"/>
      <c r="G766" s="32" t="e">
        <f aca="false">G765+#REF!-F766</f>
        <v>#REF!</v>
      </c>
    </row>
    <row r="767" customFormat="false" ht="13" hidden="false" customHeight="false" outlineLevel="0" collapsed="false">
      <c r="B767" s="36"/>
      <c r="C767" s="36"/>
      <c r="D767" s="34"/>
      <c r="E767" s="34"/>
      <c r="F767" s="32"/>
      <c r="G767" s="32" t="e">
        <f aca="false">G766+#REF!-F767</f>
        <v>#REF!</v>
      </c>
    </row>
    <row r="768" customFormat="false" ht="13" hidden="false" customHeight="false" outlineLevel="0" collapsed="false">
      <c r="B768" s="36"/>
      <c r="C768" s="36"/>
      <c r="D768" s="34"/>
      <c r="E768" s="34"/>
      <c r="F768" s="32"/>
      <c r="G768" s="32" t="e">
        <f aca="false">G767+#REF!-F768</f>
        <v>#REF!</v>
      </c>
    </row>
    <row r="769" customFormat="false" ht="13" hidden="false" customHeight="false" outlineLevel="0" collapsed="false">
      <c r="B769" s="36"/>
      <c r="C769" s="36"/>
      <c r="D769" s="34"/>
      <c r="E769" s="34"/>
      <c r="F769" s="32"/>
      <c r="G769" s="32" t="e">
        <f aca="false">G768+#REF!-F769</f>
        <v>#REF!</v>
      </c>
    </row>
    <row r="770" customFormat="false" ht="13" hidden="false" customHeight="false" outlineLevel="0" collapsed="false">
      <c r="B770" s="36"/>
      <c r="C770" s="36"/>
      <c r="D770" s="34"/>
      <c r="E770" s="34"/>
      <c r="F770" s="32"/>
      <c r="G770" s="32" t="e">
        <f aca="false">G769+#REF!-F770</f>
        <v>#REF!</v>
      </c>
    </row>
    <row r="771" customFormat="false" ht="13" hidden="false" customHeight="false" outlineLevel="0" collapsed="false">
      <c r="B771" s="36"/>
      <c r="C771" s="36"/>
      <c r="D771" s="34"/>
      <c r="E771" s="34"/>
      <c r="F771" s="32"/>
      <c r="G771" s="32" t="e">
        <f aca="false">G770+#REF!-F771</f>
        <v>#REF!</v>
      </c>
    </row>
    <row r="772" customFormat="false" ht="13" hidden="false" customHeight="false" outlineLevel="0" collapsed="false">
      <c r="B772" s="36"/>
      <c r="C772" s="36"/>
      <c r="D772" s="34"/>
      <c r="E772" s="34"/>
      <c r="F772" s="32"/>
      <c r="G772" s="32" t="e">
        <f aca="false">G771+#REF!-F772</f>
        <v>#REF!</v>
      </c>
    </row>
    <row r="773" customFormat="false" ht="13" hidden="false" customHeight="false" outlineLevel="0" collapsed="false">
      <c r="B773" s="36"/>
      <c r="C773" s="36"/>
      <c r="D773" s="34"/>
      <c r="E773" s="34"/>
      <c r="F773" s="32"/>
      <c r="G773" s="32" t="e">
        <f aca="false">G772+#REF!-F773</f>
        <v>#REF!</v>
      </c>
    </row>
    <row r="774" customFormat="false" ht="13" hidden="false" customHeight="false" outlineLevel="0" collapsed="false">
      <c r="B774" s="36"/>
      <c r="C774" s="36"/>
      <c r="D774" s="34"/>
      <c r="E774" s="34"/>
      <c r="F774" s="32"/>
      <c r="G774" s="32" t="e">
        <f aca="false">G773+#REF!-F774</f>
        <v>#REF!</v>
      </c>
    </row>
    <row r="775" customFormat="false" ht="13" hidden="false" customHeight="false" outlineLevel="0" collapsed="false">
      <c r="B775" s="36"/>
      <c r="C775" s="36"/>
      <c r="D775" s="34"/>
      <c r="E775" s="34"/>
      <c r="F775" s="32"/>
      <c r="G775" s="32" t="e">
        <f aca="false">G774+#REF!-F775</f>
        <v>#REF!</v>
      </c>
    </row>
    <row r="776" customFormat="false" ht="13" hidden="false" customHeight="false" outlineLevel="0" collapsed="false">
      <c r="B776" s="36"/>
      <c r="C776" s="36"/>
      <c r="D776" s="34"/>
      <c r="E776" s="34"/>
      <c r="F776" s="32"/>
      <c r="G776" s="32" t="e">
        <f aca="false">G775+#REF!-F776</f>
        <v>#REF!</v>
      </c>
    </row>
    <row r="777" customFormat="false" ht="13" hidden="false" customHeight="false" outlineLevel="0" collapsed="false">
      <c r="B777" s="36"/>
      <c r="C777" s="36"/>
      <c r="D777" s="34"/>
      <c r="E777" s="34"/>
      <c r="F777" s="32"/>
      <c r="G777" s="32" t="e">
        <f aca="false">G776+#REF!-F777</f>
        <v>#REF!</v>
      </c>
    </row>
    <row r="778" customFormat="false" ht="13" hidden="false" customHeight="false" outlineLevel="0" collapsed="false">
      <c r="B778" s="36"/>
      <c r="C778" s="36"/>
      <c r="D778" s="34"/>
      <c r="E778" s="34"/>
      <c r="F778" s="32"/>
      <c r="G778" s="32" t="e">
        <f aca="false">G777+#REF!-F778</f>
        <v>#REF!</v>
      </c>
    </row>
    <row r="779" customFormat="false" ht="13" hidden="false" customHeight="false" outlineLevel="0" collapsed="false">
      <c r="B779" s="36"/>
      <c r="C779" s="36"/>
      <c r="D779" s="34"/>
      <c r="E779" s="34"/>
      <c r="F779" s="32"/>
      <c r="G779" s="32" t="e">
        <f aca="false">G778+#REF!-F779</f>
        <v>#REF!</v>
      </c>
    </row>
    <row r="780" customFormat="false" ht="13" hidden="false" customHeight="false" outlineLevel="0" collapsed="false">
      <c r="B780" s="36"/>
      <c r="C780" s="36"/>
      <c r="D780" s="34"/>
      <c r="E780" s="34"/>
      <c r="F780" s="32"/>
      <c r="G780" s="32" t="e">
        <f aca="false">G779+#REF!-F780</f>
        <v>#REF!</v>
      </c>
    </row>
    <row r="781" customFormat="false" ht="13" hidden="false" customHeight="false" outlineLevel="0" collapsed="false">
      <c r="B781" s="36"/>
      <c r="C781" s="36"/>
      <c r="D781" s="34"/>
      <c r="E781" s="34"/>
      <c r="F781" s="32"/>
      <c r="G781" s="32" t="e">
        <f aca="false">G780+#REF!-F781</f>
        <v>#REF!</v>
      </c>
    </row>
    <row r="782" customFormat="false" ht="13" hidden="false" customHeight="false" outlineLevel="0" collapsed="false">
      <c r="B782" s="36"/>
      <c r="C782" s="36"/>
      <c r="D782" s="34"/>
      <c r="E782" s="34"/>
      <c r="F782" s="32"/>
      <c r="G782" s="32" t="e">
        <f aca="false">G781+#REF!-F782</f>
        <v>#REF!</v>
      </c>
    </row>
    <row r="783" customFormat="false" ht="13" hidden="false" customHeight="false" outlineLevel="0" collapsed="false">
      <c r="B783" s="36"/>
      <c r="C783" s="36"/>
      <c r="D783" s="34"/>
      <c r="E783" s="34"/>
      <c r="F783" s="32"/>
      <c r="G783" s="32" t="e">
        <f aca="false">G782+#REF!-F783</f>
        <v>#REF!</v>
      </c>
    </row>
    <row r="784" customFormat="false" ht="13" hidden="false" customHeight="false" outlineLevel="0" collapsed="false">
      <c r="B784" s="36"/>
      <c r="C784" s="36"/>
      <c r="D784" s="34"/>
      <c r="E784" s="34"/>
      <c r="F784" s="32"/>
      <c r="G784" s="32" t="e">
        <f aca="false">G783+#REF!-F784</f>
        <v>#REF!</v>
      </c>
    </row>
    <row r="785" customFormat="false" ht="13" hidden="false" customHeight="false" outlineLevel="0" collapsed="false">
      <c r="B785" s="36"/>
      <c r="C785" s="36"/>
      <c r="D785" s="34"/>
      <c r="E785" s="34"/>
      <c r="F785" s="32"/>
      <c r="G785" s="32" t="e">
        <f aca="false">G784+#REF!-F785</f>
        <v>#REF!</v>
      </c>
    </row>
    <row r="786" customFormat="false" ht="13" hidden="false" customHeight="false" outlineLevel="0" collapsed="false">
      <c r="B786" s="36"/>
      <c r="C786" s="36"/>
      <c r="D786" s="34"/>
      <c r="E786" s="34"/>
      <c r="F786" s="32"/>
      <c r="G786" s="32" t="e">
        <f aca="false">G785+#REF!-F786</f>
        <v>#REF!</v>
      </c>
    </row>
    <row r="787" customFormat="false" ht="13" hidden="false" customHeight="false" outlineLevel="0" collapsed="false">
      <c r="B787" s="36"/>
      <c r="C787" s="36"/>
      <c r="D787" s="34"/>
      <c r="E787" s="34"/>
      <c r="F787" s="32"/>
      <c r="G787" s="32" t="e">
        <f aca="false">G786+#REF!-F787</f>
        <v>#REF!</v>
      </c>
    </row>
    <row r="788" customFormat="false" ht="13" hidden="false" customHeight="false" outlineLevel="0" collapsed="false">
      <c r="B788" s="36"/>
      <c r="C788" s="36"/>
      <c r="D788" s="34"/>
      <c r="E788" s="34"/>
      <c r="F788" s="32"/>
      <c r="G788" s="32" t="e">
        <f aca="false">G787+#REF!-F788</f>
        <v>#REF!</v>
      </c>
    </row>
    <row r="789" customFormat="false" ht="13" hidden="false" customHeight="false" outlineLevel="0" collapsed="false">
      <c r="B789" s="36"/>
      <c r="C789" s="36"/>
      <c r="D789" s="34"/>
      <c r="E789" s="34"/>
      <c r="F789" s="32"/>
      <c r="G789" s="32" t="e">
        <f aca="false">G788+#REF!-F789</f>
        <v>#REF!</v>
      </c>
    </row>
    <row r="790" customFormat="false" ht="13" hidden="false" customHeight="false" outlineLevel="0" collapsed="false">
      <c r="B790" s="36"/>
      <c r="C790" s="36"/>
      <c r="D790" s="34"/>
      <c r="E790" s="34"/>
      <c r="F790" s="32"/>
      <c r="G790" s="32" t="e">
        <f aca="false">G789+#REF!-F790</f>
        <v>#REF!</v>
      </c>
    </row>
    <row r="791" customFormat="false" ht="13" hidden="false" customHeight="false" outlineLevel="0" collapsed="false">
      <c r="B791" s="36"/>
      <c r="C791" s="36"/>
      <c r="D791" s="34"/>
      <c r="E791" s="34"/>
      <c r="F791" s="32"/>
      <c r="G791" s="32" t="e">
        <f aca="false">G790+#REF!-F791</f>
        <v>#REF!</v>
      </c>
    </row>
    <row r="792" customFormat="false" ht="13" hidden="false" customHeight="false" outlineLevel="0" collapsed="false">
      <c r="B792" s="36"/>
      <c r="C792" s="36"/>
      <c r="D792" s="34"/>
      <c r="E792" s="34"/>
      <c r="F792" s="32"/>
      <c r="G792" s="32" t="e">
        <f aca="false">G791+#REF!-F792</f>
        <v>#REF!</v>
      </c>
    </row>
    <row r="793" customFormat="false" ht="13" hidden="false" customHeight="false" outlineLevel="0" collapsed="false">
      <c r="B793" s="36"/>
      <c r="C793" s="36"/>
      <c r="D793" s="34"/>
      <c r="E793" s="34"/>
      <c r="F793" s="32"/>
      <c r="G793" s="32" t="e">
        <f aca="false">G792+#REF!-F793</f>
        <v>#REF!</v>
      </c>
    </row>
    <row r="794" customFormat="false" ht="13" hidden="false" customHeight="false" outlineLevel="0" collapsed="false">
      <c r="B794" s="36"/>
      <c r="C794" s="36"/>
      <c r="D794" s="34"/>
      <c r="E794" s="34"/>
      <c r="F794" s="32"/>
      <c r="G794" s="32" t="e">
        <f aca="false">G793+#REF!-F794</f>
        <v>#REF!</v>
      </c>
    </row>
    <row r="795" customFormat="false" ht="13" hidden="false" customHeight="false" outlineLevel="0" collapsed="false">
      <c r="B795" s="36"/>
      <c r="C795" s="36"/>
      <c r="D795" s="34"/>
      <c r="E795" s="34"/>
      <c r="F795" s="32"/>
      <c r="G795" s="32" t="e">
        <f aca="false">G794+#REF!-F795</f>
        <v>#REF!</v>
      </c>
    </row>
    <row r="796" customFormat="false" ht="13" hidden="false" customHeight="false" outlineLevel="0" collapsed="false">
      <c r="B796" s="36"/>
      <c r="C796" s="36"/>
      <c r="D796" s="34"/>
      <c r="E796" s="34"/>
      <c r="F796" s="32"/>
      <c r="G796" s="32" t="e">
        <f aca="false">G795+#REF!-F796</f>
        <v>#REF!</v>
      </c>
    </row>
    <row r="797" customFormat="false" ht="13" hidden="false" customHeight="false" outlineLevel="0" collapsed="false">
      <c r="B797" s="36"/>
      <c r="C797" s="36"/>
      <c r="D797" s="34"/>
      <c r="E797" s="34"/>
      <c r="F797" s="32"/>
      <c r="G797" s="32" t="e">
        <f aca="false">G796+#REF!-F797</f>
        <v>#REF!</v>
      </c>
    </row>
    <row r="798" customFormat="false" ht="13" hidden="false" customHeight="false" outlineLevel="0" collapsed="false">
      <c r="B798" s="36"/>
      <c r="C798" s="36"/>
      <c r="D798" s="34"/>
      <c r="E798" s="34"/>
      <c r="F798" s="32"/>
      <c r="G798" s="32" t="e">
        <f aca="false">G797+#REF!-F798</f>
        <v>#REF!</v>
      </c>
    </row>
    <row r="799" customFormat="false" ht="13" hidden="false" customHeight="false" outlineLevel="0" collapsed="false">
      <c r="B799" s="36"/>
      <c r="C799" s="36"/>
      <c r="D799" s="34"/>
      <c r="E799" s="34"/>
      <c r="F799" s="32"/>
      <c r="G799" s="32" t="e">
        <f aca="false">G798+#REF!-F799</f>
        <v>#REF!</v>
      </c>
    </row>
    <row r="800" customFormat="false" ht="13" hidden="false" customHeight="false" outlineLevel="0" collapsed="false">
      <c r="B800" s="36"/>
      <c r="C800" s="36"/>
      <c r="D800" s="34"/>
      <c r="E800" s="34"/>
      <c r="F800" s="32"/>
      <c r="G800" s="32" t="e">
        <f aca="false">G799+#REF!-F800</f>
        <v>#REF!</v>
      </c>
    </row>
    <row r="801" customFormat="false" ht="13" hidden="false" customHeight="false" outlineLevel="0" collapsed="false">
      <c r="B801" s="36"/>
      <c r="C801" s="36"/>
      <c r="D801" s="34"/>
      <c r="E801" s="34"/>
      <c r="F801" s="32"/>
      <c r="G801" s="32" t="e">
        <f aca="false">G800+#REF!-F801</f>
        <v>#REF!</v>
      </c>
    </row>
    <row r="802" customFormat="false" ht="13" hidden="false" customHeight="false" outlineLevel="0" collapsed="false">
      <c r="B802" s="36"/>
      <c r="C802" s="36"/>
      <c r="D802" s="34"/>
      <c r="E802" s="34"/>
      <c r="F802" s="32"/>
      <c r="G802" s="32" t="e">
        <f aca="false">G801+#REF!-F802</f>
        <v>#REF!</v>
      </c>
    </row>
    <row r="803" customFormat="false" ht="13" hidden="false" customHeight="false" outlineLevel="0" collapsed="false">
      <c r="B803" s="36"/>
      <c r="C803" s="36"/>
      <c r="D803" s="34"/>
      <c r="E803" s="34"/>
      <c r="F803" s="32"/>
      <c r="G803" s="32" t="e">
        <f aca="false">G802+#REF!-F803</f>
        <v>#REF!</v>
      </c>
    </row>
    <row r="804" customFormat="false" ht="13" hidden="false" customHeight="false" outlineLevel="0" collapsed="false">
      <c r="B804" s="36"/>
      <c r="C804" s="36"/>
      <c r="D804" s="34"/>
      <c r="E804" s="34"/>
      <c r="F804" s="32"/>
      <c r="G804" s="32" t="e">
        <f aca="false">G803+#REF!-F804</f>
        <v>#REF!</v>
      </c>
    </row>
    <row r="805" customFormat="false" ht="13" hidden="false" customHeight="false" outlineLevel="0" collapsed="false">
      <c r="B805" s="36"/>
      <c r="C805" s="36"/>
      <c r="D805" s="34"/>
      <c r="E805" s="34"/>
      <c r="F805" s="32"/>
      <c r="G805" s="32" t="e">
        <f aca="false">G804+#REF!-F805</f>
        <v>#REF!</v>
      </c>
    </row>
    <row r="806" customFormat="false" ht="13" hidden="false" customHeight="false" outlineLevel="0" collapsed="false">
      <c r="B806" s="36"/>
      <c r="C806" s="36"/>
      <c r="D806" s="34"/>
      <c r="E806" s="34"/>
      <c r="F806" s="32"/>
      <c r="G806" s="32" t="e">
        <f aca="false">G805+#REF!-F806</f>
        <v>#REF!</v>
      </c>
    </row>
    <row r="807" customFormat="false" ht="13" hidden="false" customHeight="false" outlineLevel="0" collapsed="false">
      <c r="B807" s="36"/>
      <c r="C807" s="36"/>
      <c r="D807" s="34"/>
      <c r="E807" s="34"/>
      <c r="F807" s="32"/>
      <c r="G807" s="32" t="e">
        <f aca="false">G806+#REF!-F807</f>
        <v>#REF!</v>
      </c>
    </row>
    <row r="808" customFormat="false" ht="13" hidden="false" customHeight="false" outlineLevel="0" collapsed="false">
      <c r="B808" s="36"/>
      <c r="C808" s="36"/>
      <c r="D808" s="34"/>
      <c r="E808" s="34"/>
      <c r="F808" s="32"/>
      <c r="G808" s="32" t="e">
        <f aca="false">G807+#REF!-F808</f>
        <v>#REF!</v>
      </c>
    </row>
    <row r="809" customFormat="false" ht="13" hidden="false" customHeight="false" outlineLevel="0" collapsed="false">
      <c r="B809" s="36"/>
      <c r="C809" s="36"/>
      <c r="D809" s="34"/>
      <c r="E809" s="34"/>
      <c r="F809" s="32"/>
      <c r="G809" s="32" t="e">
        <f aca="false">G808+#REF!-F809</f>
        <v>#REF!</v>
      </c>
    </row>
    <row r="810" customFormat="false" ht="13" hidden="false" customHeight="false" outlineLevel="0" collapsed="false">
      <c r="B810" s="36"/>
      <c r="C810" s="36"/>
      <c r="D810" s="34"/>
      <c r="E810" s="34"/>
      <c r="F810" s="32"/>
      <c r="G810" s="32" t="e">
        <f aca="false">G809+#REF!-F810</f>
        <v>#REF!</v>
      </c>
    </row>
    <row r="811" customFormat="false" ht="13" hidden="false" customHeight="false" outlineLevel="0" collapsed="false">
      <c r="B811" s="36"/>
      <c r="C811" s="36"/>
      <c r="D811" s="34"/>
      <c r="E811" s="34"/>
      <c r="F811" s="32"/>
      <c r="G811" s="32" t="e">
        <f aca="false">G810+#REF!-F811</f>
        <v>#REF!</v>
      </c>
    </row>
    <row r="812" customFormat="false" ht="13" hidden="false" customHeight="false" outlineLevel="0" collapsed="false">
      <c r="B812" s="36"/>
      <c r="C812" s="36"/>
      <c r="D812" s="34"/>
      <c r="E812" s="34"/>
      <c r="F812" s="32"/>
      <c r="G812" s="32" t="e">
        <f aca="false">G811+#REF!-F812</f>
        <v>#REF!</v>
      </c>
    </row>
    <row r="813" customFormat="false" ht="13" hidden="false" customHeight="false" outlineLevel="0" collapsed="false">
      <c r="B813" s="36"/>
      <c r="C813" s="36"/>
      <c r="D813" s="34"/>
      <c r="E813" s="34"/>
      <c r="F813" s="32"/>
      <c r="G813" s="32" t="e">
        <f aca="false">G812+#REF!-F813</f>
        <v>#REF!</v>
      </c>
    </row>
    <row r="814" customFormat="false" ht="13" hidden="false" customHeight="false" outlineLevel="0" collapsed="false">
      <c r="B814" s="36"/>
      <c r="C814" s="36"/>
      <c r="D814" s="34"/>
      <c r="E814" s="34"/>
      <c r="F814" s="32"/>
      <c r="G814" s="32" t="e">
        <f aca="false">G813+#REF!-F814</f>
        <v>#REF!</v>
      </c>
    </row>
    <row r="815" customFormat="false" ht="13" hidden="false" customHeight="false" outlineLevel="0" collapsed="false">
      <c r="B815" s="36"/>
      <c r="C815" s="36"/>
      <c r="D815" s="34"/>
      <c r="E815" s="34"/>
      <c r="F815" s="32"/>
      <c r="G815" s="32" t="e">
        <f aca="false">G814+#REF!-F815</f>
        <v>#REF!</v>
      </c>
    </row>
    <row r="816" customFormat="false" ht="13" hidden="false" customHeight="false" outlineLevel="0" collapsed="false">
      <c r="B816" s="36"/>
      <c r="C816" s="36"/>
      <c r="D816" s="34"/>
      <c r="E816" s="34"/>
      <c r="F816" s="32"/>
      <c r="G816" s="32" t="e">
        <f aca="false">G815+#REF!-F816</f>
        <v>#REF!</v>
      </c>
    </row>
    <row r="817" customFormat="false" ht="13" hidden="false" customHeight="false" outlineLevel="0" collapsed="false">
      <c r="B817" s="36"/>
      <c r="C817" s="36"/>
      <c r="D817" s="34"/>
      <c r="E817" s="34"/>
      <c r="F817" s="32"/>
      <c r="G817" s="32" t="e">
        <f aca="false">G816+#REF!-F817</f>
        <v>#REF!</v>
      </c>
    </row>
    <row r="818" customFormat="false" ht="13" hidden="false" customHeight="false" outlineLevel="0" collapsed="false">
      <c r="B818" s="36"/>
      <c r="C818" s="36"/>
      <c r="D818" s="34"/>
      <c r="E818" s="34"/>
      <c r="F818" s="32"/>
      <c r="G818" s="32" t="e">
        <f aca="false">G817+#REF!-F818</f>
        <v>#REF!</v>
      </c>
    </row>
    <row r="819" customFormat="false" ht="13" hidden="false" customHeight="false" outlineLevel="0" collapsed="false">
      <c r="B819" s="36"/>
      <c r="C819" s="36"/>
      <c r="D819" s="34"/>
      <c r="E819" s="34"/>
      <c r="F819" s="32"/>
      <c r="G819" s="32" t="e">
        <f aca="false">G818+#REF!-F819</f>
        <v>#REF!</v>
      </c>
    </row>
    <row r="820" customFormat="false" ht="13" hidden="false" customHeight="false" outlineLevel="0" collapsed="false">
      <c r="B820" s="36"/>
      <c r="C820" s="36"/>
      <c r="D820" s="34"/>
      <c r="E820" s="34"/>
      <c r="F820" s="32"/>
      <c r="G820" s="32" t="e">
        <f aca="false">G819+#REF!-F820</f>
        <v>#REF!</v>
      </c>
    </row>
    <row r="821" customFormat="false" ht="13" hidden="false" customHeight="false" outlineLevel="0" collapsed="false">
      <c r="B821" s="36"/>
      <c r="C821" s="36"/>
      <c r="D821" s="34"/>
      <c r="E821" s="34"/>
      <c r="F821" s="32"/>
      <c r="G821" s="32" t="e">
        <f aca="false">G820+#REF!-F821</f>
        <v>#REF!</v>
      </c>
    </row>
    <row r="822" customFormat="false" ht="13" hidden="false" customHeight="false" outlineLevel="0" collapsed="false">
      <c r="B822" s="36"/>
      <c r="C822" s="36"/>
      <c r="D822" s="34"/>
      <c r="E822" s="34"/>
      <c r="F822" s="32"/>
      <c r="G822" s="32" t="e">
        <f aca="false">G821+#REF!-F822</f>
        <v>#REF!</v>
      </c>
    </row>
    <row r="823" customFormat="false" ht="13" hidden="false" customHeight="false" outlineLevel="0" collapsed="false">
      <c r="B823" s="36"/>
      <c r="C823" s="36"/>
      <c r="D823" s="34"/>
      <c r="E823" s="34"/>
      <c r="F823" s="32"/>
      <c r="G823" s="32" t="e">
        <f aca="false">G822+#REF!-F823</f>
        <v>#REF!</v>
      </c>
    </row>
    <row r="824" customFormat="false" ht="13" hidden="false" customHeight="false" outlineLevel="0" collapsed="false">
      <c r="B824" s="36"/>
      <c r="C824" s="36"/>
      <c r="D824" s="34"/>
      <c r="E824" s="34"/>
      <c r="F824" s="32"/>
      <c r="G824" s="32" t="e">
        <f aca="false">G823+#REF!-F824</f>
        <v>#REF!</v>
      </c>
    </row>
    <row r="825" customFormat="false" ht="13" hidden="false" customHeight="false" outlineLevel="0" collapsed="false">
      <c r="B825" s="36"/>
      <c r="C825" s="36"/>
      <c r="D825" s="34"/>
      <c r="E825" s="34"/>
      <c r="F825" s="32"/>
      <c r="G825" s="32" t="e">
        <f aca="false">G824+#REF!-F825</f>
        <v>#REF!</v>
      </c>
    </row>
    <row r="826" customFormat="false" ht="13" hidden="false" customHeight="false" outlineLevel="0" collapsed="false">
      <c r="B826" s="36"/>
      <c r="C826" s="36"/>
      <c r="D826" s="34"/>
      <c r="E826" s="34"/>
      <c r="F826" s="32"/>
      <c r="G826" s="32" t="e">
        <f aca="false">G825+#REF!-F826</f>
        <v>#REF!</v>
      </c>
    </row>
    <row r="827" customFormat="false" ht="13" hidden="false" customHeight="false" outlineLevel="0" collapsed="false">
      <c r="B827" s="36"/>
      <c r="C827" s="36"/>
      <c r="D827" s="34"/>
      <c r="E827" s="34"/>
      <c r="F827" s="32"/>
      <c r="G827" s="32" t="e">
        <f aca="false">G826+#REF!-F827</f>
        <v>#REF!</v>
      </c>
    </row>
    <row r="828" customFormat="false" ht="13" hidden="false" customHeight="false" outlineLevel="0" collapsed="false">
      <c r="B828" s="36"/>
      <c r="C828" s="36"/>
      <c r="D828" s="34"/>
      <c r="E828" s="34"/>
      <c r="F828" s="32"/>
      <c r="G828" s="32" t="e">
        <f aca="false">G827+#REF!-F828</f>
        <v>#REF!</v>
      </c>
    </row>
    <row r="829" customFormat="false" ht="13" hidden="false" customHeight="false" outlineLevel="0" collapsed="false">
      <c r="B829" s="36"/>
      <c r="C829" s="36"/>
      <c r="D829" s="34"/>
      <c r="E829" s="34"/>
      <c r="F829" s="32"/>
      <c r="G829" s="32" t="e">
        <f aca="false">G828+#REF!-F829</f>
        <v>#REF!</v>
      </c>
    </row>
    <row r="830" customFormat="false" ht="13" hidden="false" customHeight="false" outlineLevel="0" collapsed="false">
      <c r="B830" s="36"/>
      <c r="C830" s="36"/>
      <c r="D830" s="34"/>
      <c r="E830" s="34"/>
      <c r="F830" s="32"/>
      <c r="G830" s="32" t="e">
        <f aca="false">G829+#REF!-F830</f>
        <v>#REF!</v>
      </c>
    </row>
    <row r="831" customFormat="false" ht="13" hidden="false" customHeight="false" outlineLevel="0" collapsed="false">
      <c r="B831" s="36"/>
      <c r="C831" s="36"/>
      <c r="D831" s="34"/>
      <c r="E831" s="34"/>
      <c r="F831" s="32"/>
      <c r="G831" s="32" t="e">
        <f aca="false">G830+#REF!-F831</f>
        <v>#REF!</v>
      </c>
    </row>
    <row r="832" customFormat="false" ht="13" hidden="false" customHeight="false" outlineLevel="0" collapsed="false">
      <c r="B832" s="36"/>
      <c r="C832" s="36"/>
      <c r="D832" s="34"/>
      <c r="E832" s="34"/>
      <c r="F832" s="32"/>
      <c r="G832" s="32" t="e">
        <f aca="false">G831+#REF!-F832</f>
        <v>#REF!</v>
      </c>
    </row>
    <row r="833" customFormat="false" ht="13" hidden="false" customHeight="false" outlineLevel="0" collapsed="false">
      <c r="B833" s="36"/>
      <c r="C833" s="36"/>
      <c r="D833" s="34"/>
      <c r="E833" s="34"/>
      <c r="F833" s="32"/>
      <c r="G833" s="32" t="e">
        <f aca="false">G832+#REF!-F833</f>
        <v>#REF!</v>
      </c>
    </row>
    <row r="834" customFormat="false" ht="13" hidden="false" customHeight="false" outlineLevel="0" collapsed="false">
      <c r="B834" s="36"/>
      <c r="C834" s="36"/>
      <c r="D834" s="34"/>
      <c r="E834" s="34"/>
      <c r="F834" s="32"/>
      <c r="G834" s="32" t="e">
        <f aca="false">G833+#REF!-F834</f>
        <v>#REF!</v>
      </c>
    </row>
    <row r="835" customFormat="false" ht="13" hidden="false" customHeight="false" outlineLevel="0" collapsed="false">
      <c r="B835" s="36"/>
      <c r="C835" s="36"/>
      <c r="D835" s="34"/>
      <c r="E835" s="34"/>
      <c r="F835" s="32"/>
      <c r="G835" s="32" t="e">
        <f aca="false">G834+#REF!-F835</f>
        <v>#REF!</v>
      </c>
    </row>
    <row r="836" customFormat="false" ht="13" hidden="false" customHeight="false" outlineLevel="0" collapsed="false">
      <c r="B836" s="36"/>
      <c r="C836" s="36"/>
      <c r="D836" s="34"/>
      <c r="E836" s="34"/>
      <c r="F836" s="32"/>
      <c r="G836" s="32" t="e">
        <f aca="false">G835+#REF!-F836</f>
        <v>#REF!</v>
      </c>
    </row>
    <row r="837" customFormat="false" ht="13" hidden="false" customHeight="false" outlineLevel="0" collapsed="false">
      <c r="B837" s="36"/>
      <c r="C837" s="36"/>
      <c r="D837" s="34"/>
      <c r="E837" s="34"/>
      <c r="F837" s="32"/>
      <c r="G837" s="32" t="e">
        <f aca="false">G836+#REF!-F837</f>
        <v>#REF!</v>
      </c>
    </row>
    <row r="838" customFormat="false" ht="13" hidden="false" customHeight="false" outlineLevel="0" collapsed="false">
      <c r="B838" s="36"/>
      <c r="C838" s="36"/>
      <c r="D838" s="34"/>
      <c r="E838" s="34"/>
      <c r="F838" s="32"/>
      <c r="G838" s="32" t="e">
        <f aca="false">G837+#REF!-F838</f>
        <v>#REF!</v>
      </c>
    </row>
    <row r="839" customFormat="false" ht="13" hidden="false" customHeight="false" outlineLevel="0" collapsed="false">
      <c r="B839" s="36"/>
      <c r="C839" s="36"/>
      <c r="D839" s="34"/>
      <c r="E839" s="34"/>
      <c r="F839" s="32"/>
      <c r="G839" s="32" t="e">
        <f aca="false">G838+#REF!-F839</f>
        <v>#REF!</v>
      </c>
    </row>
    <row r="840" customFormat="false" ht="13" hidden="false" customHeight="false" outlineLevel="0" collapsed="false">
      <c r="B840" s="36"/>
      <c r="C840" s="36"/>
      <c r="D840" s="34"/>
      <c r="E840" s="34"/>
      <c r="F840" s="32"/>
      <c r="G840" s="32" t="e">
        <f aca="false">G839+#REF!-F840</f>
        <v>#REF!</v>
      </c>
    </row>
    <row r="841" customFormat="false" ht="13" hidden="false" customHeight="false" outlineLevel="0" collapsed="false">
      <c r="B841" s="36"/>
      <c r="C841" s="36"/>
      <c r="D841" s="34"/>
      <c r="E841" s="34"/>
      <c r="F841" s="32"/>
      <c r="G841" s="32" t="e">
        <f aca="false">G840+#REF!-F841</f>
        <v>#REF!</v>
      </c>
    </row>
    <row r="842" customFormat="false" ht="13" hidden="false" customHeight="false" outlineLevel="0" collapsed="false">
      <c r="B842" s="36"/>
      <c r="C842" s="36"/>
      <c r="D842" s="34"/>
      <c r="E842" s="34"/>
      <c r="F842" s="32"/>
      <c r="G842" s="32" t="e">
        <f aca="false">G841+#REF!-F842</f>
        <v>#REF!</v>
      </c>
    </row>
    <row r="843" customFormat="false" ht="13" hidden="false" customHeight="false" outlineLevel="0" collapsed="false">
      <c r="B843" s="36"/>
      <c r="C843" s="36"/>
      <c r="D843" s="34"/>
      <c r="E843" s="34"/>
      <c r="F843" s="32"/>
      <c r="G843" s="32" t="e">
        <f aca="false">G842+#REF!-F843</f>
        <v>#REF!</v>
      </c>
    </row>
    <row r="844" customFormat="false" ht="13" hidden="false" customHeight="false" outlineLevel="0" collapsed="false">
      <c r="B844" s="36"/>
      <c r="C844" s="36"/>
      <c r="D844" s="34"/>
      <c r="E844" s="34"/>
      <c r="F844" s="32"/>
      <c r="G844" s="32" t="e">
        <f aca="false">G843+#REF!-F844</f>
        <v>#REF!</v>
      </c>
    </row>
    <row r="845" customFormat="false" ht="13" hidden="false" customHeight="false" outlineLevel="0" collapsed="false">
      <c r="B845" s="36"/>
      <c r="C845" s="36"/>
      <c r="D845" s="34"/>
      <c r="E845" s="34"/>
      <c r="F845" s="32"/>
      <c r="G845" s="32" t="e">
        <f aca="false">G844+#REF!-F845</f>
        <v>#REF!</v>
      </c>
    </row>
    <row r="846" customFormat="false" ht="13" hidden="false" customHeight="false" outlineLevel="0" collapsed="false">
      <c r="B846" s="36"/>
      <c r="C846" s="36"/>
      <c r="D846" s="34"/>
      <c r="E846" s="34"/>
      <c r="F846" s="32"/>
      <c r="G846" s="32" t="e">
        <f aca="false">G845+#REF!-F846</f>
        <v>#REF!</v>
      </c>
    </row>
    <row r="847" customFormat="false" ht="13" hidden="false" customHeight="false" outlineLevel="0" collapsed="false">
      <c r="B847" s="36"/>
      <c r="C847" s="36"/>
      <c r="D847" s="34"/>
      <c r="E847" s="34"/>
      <c r="F847" s="32"/>
      <c r="G847" s="32" t="e">
        <f aca="false">G846+#REF!-F847</f>
        <v>#REF!</v>
      </c>
    </row>
    <row r="848" customFormat="false" ht="13" hidden="false" customHeight="false" outlineLevel="0" collapsed="false">
      <c r="B848" s="36"/>
      <c r="C848" s="36"/>
      <c r="D848" s="34"/>
      <c r="E848" s="34"/>
      <c r="F848" s="32"/>
      <c r="G848" s="32" t="e">
        <f aca="false">G847+#REF!-F848</f>
        <v>#REF!</v>
      </c>
    </row>
    <row r="849" customFormat="false" ht="13" hidden="false" customHeight="false" outlineLevel="0" collapsed="false">
      <c r="B849" s="36"/>
      <c r="C849" s="36"/>
      <c r="D849" s="34"/>
      <c r="E849" s="34"/>
      <c r="F849" s="32"/>
      <c r="G849" s="32" t="e">
        <f aca="false">G848+#REF!-F849</f>
        <v>#REF!</v>
      </c>
    </row>
    <row r="850" customFormat="false" ht="13" hidden="false" customHeight="false" outlineLevel="0" collapsed="false">
      <c r="B850" s="36"/>
      <c r="C850" s="36"/>
      <c r="D850" s="34"/>
      <c r="E850" s="34"/>
      <c r="F850" s="32"/>
      <c r="G850" s="32" t="e">
        <f aca="false">G849+#REF!-F850</f>
        <v>#REF!</v>
      </c>
    </row>
    <row r="851" customFormat="false" ht="13" hidden="false" customHeight="false" outlineLevel="0" collapsed="false">
      <c r="B851" s="36"/>
      <c r="C851" s="36"/>
      <c r="D851" s="34"/>
      <c r="E851" s="34"/>
      <c r="F851" s="32"/>
      <c r="G851" s="32" t="e">
        <f aca="false">G850+#REF!-F851</f>
        <v>#REF!</v>
      </c>
    </row>
    <row r="852" customFormat="false" ht="13" hidden="false" customHeight="false" outlineLevel="0" collapsed="false">
      <c r="B852" s="36"/>
      <c r="C852" s="36"/>
      <c r="D852" s="34"/>
      <c r="E852" s="34"/>
      <c r="F852" s="32"/>
      <c r="G852" s="32" t="e">
        <f aca="false">G851+#REF!-F852</f>
        <v>#REF!</v>
      </c>
    </row>
    <row r="853" customFormat="false" ht="13" hidden="false" customHeight="false" outlineLevel="0" collapsed="false">
      <c r="B853" s="36"/>
      <c r="C853" s="36"/>
      <c r="D853" s="34"/>
      <c r="E853" s="34"/>
      <c r="F853" s="32"/>
      <c r="G853" s="32" t="e">
        <f aca="false">G852+#REF!-F853</f>
        <v>#REF!</v>
      </c>
    </row>
    <row r="854" customFormat="false" ht="13" hidden="false" customHeight="false" outlineLevel="0" collapsed="false">
      <c r="B854" s="36"/>
      <c r="C854" s="36"/>
      <c r="D854" s="34"/>
      <c r="E854" s="34"/>
      <c r="F854" s="32"/>
      <c r="G854" s="32" t="e">
        <f aca="false">G853+#REF!-F854</f>
        <v>#REF!</v>
      </c>
    </row>
    <row r="855" customFormat="false" ht="13" hidden="false" customHeight="false" outlineLevel="0" collapsed="false">
      <c r="B855" s="36"/>
      <c r="C855" s="36"/>
      <c r="D855" s="34"/>
      <c r="E855" s="34"/>
      <c r="F855" s="32"/>
      <c r="G855" s="32" t="e">
        <f aca="false">G854+#REF!-F855</f>
        <v>#REF!</v>
      </c>
    </row>
    <row r="856" customFormat="false" ht="13" hidden="false" customHeight="false" outlineLevel="0" collapsed="false">
      <c r="B856" s="36"/>
      <c r="C856" s="36"/>
      <c r="D856" s="34"/>
      <c r="E856" s="34"/>
      <c r="F856" s="32"/>
      <c r="G856" s="32" t="e">
        <f aca="false">G855+#REF!-F856</f>
        <v>#REF!</v>
      </c>
    </row>
    <row r="857" customFormat="false" ht="13" hidden="false" customHeight="false" outlineLevel="0" collapsed="false">
      <c r="B857" s="36"/>
      <c r="C857" s="36"/>
      <c r="D857" s="34"/>
      <c r="E857" s="34"/>
      <c r="F857" s="32"/>
      <c r="G857" s="32" t="e">
        <f aca="false">G856+#REF!-F857</f>
        <v>#REF!</v>
      </c>
    </row>
    <row r="858" customFormat="false" ht="13" hidden="false" customHeight="false" outlineLevel="0" collapsed="false">
      <c r="B858" s="36"/>
      <c r="C858" s="36"/>
      <c r="D858" s="34"/>
      <c r="E858" s="34"/>
      <c r="F858" s="32"/>
      <c r="G858" s="32" t="e">
        <f aca="false">G857+#REF!-F858</f>
        <v>#REF!</v>
      </c>
    </row>
    <row r="859" customFormat="false" ht="13" hidden="false" customHeight="false" outlineLevel="0" collapsed="false">
      <c r="B859" s="36"/>
      <c r="C859" s="36"/>
      <c r="D859" s="34"/>
      <c r="E859" s="34"/>
      <c r="F859" s="32"/>
      <c r="G859" s="32" t="e">
        <f aca="false">G858+#REF!-F859</f>
        <v>#REF!</v>
      </c>
    </row>
    <row r="860" customFormat="false" ht="13" hidden="false" customHeight="false" outlineLevel="0" collapsed="false">
      <c r="B860" s="36"/>
      <c r="C860" s="36"/>
      <c r="D860" s="34"/>
      <c r="E860" s="34"/>
      <c r="F860" s="32"/>
      <c r="G860" s="32" t="e">
        <f aca="false">G859+#REF!-F860</f>
        <v>#REF!</v>
      </c>
    </row>
    <row r="861" customFormat="false" ht="13" hidden="false" customHeight="false" outlineLevel="0" collapsed="false">
      <c r="B861" s="36"/>
      <c r="C861" s="36"/>
      <c r="D861" s="34"/>
      <c r="E861" s="34"/>
      <c r="F861" s="32"/>
      <c r="G861" s="32" t="e">
        <f aca="false">G860+#REF!-F861</f>
        <v>#REF!</v>
      </c>
    </row>
    <row r="862" customFormat="false" ht="13" hidden="false" customHeight="false" outlineLevel="0" collapsed="false">
      <c r="B862" s="36"/>
      <c r="C862" s="36"/>
      <c r="D862" s="34"/>
      <c r="E862" s="34"/>
      <c r="F862" s="32"/>
      <c r="G862" s="32" t="e">
        <f aca="false">G861+#REF!-F862</f>
        <v>#REF!</v>
      </c>
    </row>
    <row r="863" customFormat="false" ht="13" hidden="false" customHeight="false" outlineLevel="0" collapsed="false">
      <c r="B863" s="36"/>
      <c r="C863" s="36"/>
      <c r="D863" s="34"/>
      <c r="E863" s="34"/>
      <c r="F863" s="32"/>
      <c r="G863" s="32" t="e">
        <f aca="false">G862+#REF!-F863</f>
        <v>#REF!</v>
      </c>
    </row>
    <row r="864" customFormat="false" ht="13" hidden="false" customHeight="false" outlineLevel="0" collapsed="false">
      <c r="B864" s="36"/>
      <c r="C864" s="36"/>
      <c r="D864" s="34"/>
      <c r="E864" s="34"/>
      <c r="F864" s="32"/>
      <c r="G864" s="32" t="e">
        <f aca="false">G863+#REF!-F864</f>
        <v>#REF!</v>
      </c>
    </row>
    <row r="865" customFormat="false" ht="13" hidden="false" customHeight="false" outlineLevel="0" collapsed="false">
      <c r="B865" s="36"/>
      <c r="C865" s="36"/>
      <c r="D865" s="34"/>
      <c r="E865" s="34"/>
      <c r="F865" s="32"/>
      <c r="G865" s="32" t="e">
        <f aca="false">G864+#REF!-F865</f>
        <v>#REF!</v>
      </c>
    </row>
    <row r="866" customFormat="false" ht="13" hidden="false" customHeight="false" outlineLevel="0" collapsed="false">
      <c r="B866" s="36"/>
      <c r="C866" s="36"/>
      <c r="D866" s="34"/>
      <c r="E866" s="34"/>
      <c r="F866" s="32"/>
      <c r="G866" s="32" t="e">
        <f aca="false">G865+#REF!-F866</f>
        <v>#REF!</v>
      </c>
    </row>
    <row r="867" customFormat="false" ht="13" hidden="false" customHeight="false" outlineLevel="0" collapsed="false">
      <c r="B867" s="36"/>
      <c r="C867" s="36"/>
      <c r="D867" s="34"/>
      <c r="E867" s="34"/>
      <c r="F867" s="32"/>
      <c r="G867" s="32" t="e">
        <f aca="false">G866+#REF!-F867</f>
        <v>#REF!</v>
      </c>
    </row>
    <row r="868" customFormat="false" ht="13" hidden="false" customHeight="false" outlineLevel="0" collapsed="false">
      <c r="B868" s="36"/>
      <c r="C868" s="36"/>
      <c r="D868" s="34"/>
      <c r="E868" s="34"/>
      <c r="F868" s="32"/>
      <c r="G868" s="32" t="e">
        <f aca="false">G867+#REF!-F868</f>
        <v>#REF!</v>
      </c>
    </row>
    <row r="869" customFormat="false" ht="13" hidden="false" customHeight="false" outlineLevel="0" collapsed="false">
      <c r="B869" s="36"/>
      <c r="C869" s="36"/>
      <c r="D869" s="34"/>
      <c r="E869" s="34"/>
      <c r="F869" s="32"/>
      <c r="G869" s="32" t="e">
        <f aca="false">G868+#REF!-F869</f>
        <v>#REF!</v>
      </c>
    </row>
    <row r="870" customFormat="false" ht="13" hidden="false" customHeight="false" outlineLevel="0" collapsed="false">
      <c r="B870" s="36"/>
      <c r="C870" s="36"/>
      <c r="D870" s="34"/>
      <c r="E870" s="34"/>
      <c r="F870" s="32"/>
      <c r="G870" s="32" t="e">
        <f aca="false">G869+#REF!-F870</f>
        <v>#REF!</v>
      </c>
    </row>
    <row r="871" customFormat="false" ht="13" hidden="false" customHeight="false" outlineLevel="0" collapsed="false">
      <c r="B871" s="36"/>
      <c r="C871" s="36"/>
      <c r="D871" s="34"/>
      <c r="E871" s="34"/>
      <c r="F871" s="32"/>
      <c r="G871" s="32" t="e">
        <f aca="false">G870+#REF!-F871</f>
        <v>#REF!</v>
      </c>
    </row>
    <row r="872" customFormat="false" ht="13" hidden="false" customHeight="false" outlineLevel="0" collapsed="false">
      <c r="B872" s="36"/>
      <c r="C872" s="36"/>
      <c r="D872" s="34"/>
      <c r="E872" s="34"/>
      <c r="F872" s="32"/>
      <c r="G872" s="32" t="e">
        <f aca="false">G871+#REF!-F872</f>
        <v>#REF!</v>
      </c>
    </row>
    <row r="873" customFormat="false" ht="13" hidden="false" customHeight="false" outlineLevel="0" collapsed="false">
      <c r="B873" s="36"/>
      <c r="C873" s="36"/>
      <c r="D873" s="34"/>
      <c r="E873" s="34"/>
      <c r="F873" s="32"/>
      <c r="G873" s="32" t="e">
        <f aca="false">G872+#REF!-F873</f>
        <v>#REF!</v>
      </c>
    </row>
    <row r="874" customFormat="false" ht="13" hidden="false" customHeight="false" outlineLevel="0" collapsed="false">
      <c r="B874" s="36"/>
      <c r="C874" s="36"/>
      <c r="D874" s="34"/>
      <c r="E874" s="34"/>
      <c r="F874" s="32"/>
      <c r="G874" s="32" t="e">
        <f aca="false">G873+#REF!-F874</f>
        <v>#REF!</v>
      </c>
    </row>
    <row r="875" customFormat="false" ht="13" hidden="false" customHeight="false" outlineLevel="0" collapsed="false">
      <c r="B875" s="36"/>
      <c r="C875" s="36"/>
      <c r="D875" s="34"/>
      <c r="E875" s="34"/>
      <c r="F875" s="32"/>
      <c r="G875" s="32" t="e">
        <f aca="false">G874+#REF!-F875</f>
        <v>#REF!</v>
      </c>
    </row>
    <row r="876" customFormat="false" ht="13" hidden="false" customHeight="false" outlineLevel="0" collapsed="false">
      <c r="B876" s="36"/>
      <c r="C876" s="36"/>
      <c r="D876" s="34"/>
      <c r="E876" s="34"/>
      <c r="F876" s="32"/>
      <c r="G876" s="32" t="e">
        <f aca="false">G875+#REF!-F876</f>
        <v>#REF!</v>
      </c>
    </row>
    <row r="877" customFormat="false" ht="13" hidden="false" customHeight="false" outlineLevel="0" collapsed="false">
      <c r="B877" s="36"/>
      <c r="C877" s="36"/>
      <c r="D877" s="34"/>
      <c r="E877" s="34"/>
      <c r="F877" s="32"/>
      <c r="G877" s="32" t="e">
        <f aca="false">G876+#REF!-F877</f>
        <v>#REF!</v>
      </c>
    </row>
    <row r="878" customFormat="false" ht="13" hidden="false" customHeight="false" outlineLevel="0" collapsed="false">
      <c r="B878" s="36"/>
      <c r="C878" s="36"/>
      <c r="D878" s="34"/>
      <c r="E878" s="34"/>
      <c r="F878" s="32"/>
      <c r="G878" s="32" t="e">
        <f aca="false">G877+#REF!-F878</f>
        <v>#REF!</v>
      </c>
    </row>
    <row r="879" customFormat="false" ht="13" hidden="false" customHeight="false" outlineLevel="0" collapsed="false">
      <c r="B879" s="36"/>
      <c r="C879" s="36"/>
      <c r="D879" s="34"/>
      <c r="E879" s="34"/>
      <c r="F879" s="32"/>
      <c r="G879" s="32" t="e">
        <f aca="false">G878+#REF!-F879</f>
        <v>#REF!</v>
      </c>
    </row>
    <row r="880" customFormat="false" ht="13" hidden="false" customHeight="false" outlineLevel="0" collapsed="false">
      <c r="B880" s="36"/>
      <c r="C880" s="36"/>
      <c r="D880" s="34"/>
      <c r="E880" s="34"/>
      <c r="F880" s="32"/>
      <c r="G880" s="32" t="e">
        <f aca="false">G879+#REF!-F880</f>
        <v>#REF!</v>
      </c>
    </row>
    <row r="881" customFormat="false" ht="13" hidden="false" customHeight="false" outlineLevel="0" collapsed="false">
      <c r="B881" s="36"/>
      <c r="C881" s="36"/>
      <c r="D881" s="34"/>
      <c r="E881" s="34"/>
      <c r="F881" s="32"/>
      <c r="G881" s="32" t="e">
        <f aca="false">G880+#REF!-F881</f>
        <v>#REF!</v>
      </c>
    </row>
    <row r="882" customFormat="false" ht="13" hidden="false" customHeight="false" outlineLevel="0" collapsed="false">
      <c r="B882" s="36"/>
      <c r="C882" s="36"/>
      <c r="D882" s="34"/>
      <c r="E882" s="34"/>
      <c r="F882" s="32"/>
      <c r="G882" s="32" t="e">
        <f aca="false">G881+#REF!-F882</f>
        <v>#REF!</v>
      </c>
    </row>
    <row r="883" customFormat="false" ht="13" hidden="false" customHeight="false" outlineLevel="0" collapsed="false">
      <c r="B883" s="36"/>
      <c r="C883" s="36"/>
      <c r="D883" s="34"/>
      <c r="E883" s="34"/>
      <c r="F883" s="32"/>
      <c r="G883" s="32" t="e">
        <f aca="false">G882+#REF!-F883</f>
        <v>#REF!</v>
      </c>
    </row>
    <row r="884" customFormat="false" ht="13" hidden="false" customHeight="false" outlineLevel="0" collapsed="false">
      <c r="B884" s="36"/>
      <c r="C884" s="36"/>
      <c r="D884" s="34"/>
      <c r="E884" s="34"/>
      <c r="F884" s="32"/>
      <c r="G884" s="32" t="e">
        <f aca="false">G883+#REF!-F884</f>
        <v>#REF!</v>
      </c>
    </row>
    <row r="885" customFormat="false" ht="13" hidden="false" customHeight="false" outlineLevel="0" collapsed="false">
      <c r="B885" s="36"/>
      <c r="C885" s="36"/>
      <c r="D885" s="34"/>
      <c r="E885" s="34"/>
      <c r="F885" s="32"/>
      <c r="G885" s="32" t="e">
        <f aca="false">G884+#REF!-F885</f>
        <v>#REF!</v>
      </c>
    </row>
    <row r="886" customFormat="false" ht="13" hidden="false" customHeight="false" outlineLevel="0" collapsed="false">
      <c r="B886" s="36"/>
      <c r="C886" s="36"/>
      <c r="D886" s="34"/>
      <c r="E886" s="34"/>
      <c r="F886" s="32"/>
      <c r="G886" s="32" t="e">
        <f aca="false">G885+#REF!-F886</f>
        <v>#REF!</v>
      </c>
    </row>
    <row r="887" customFormat="false" ht="13" hidden="false" customHeight="false" outlineLevel="0" collapsed="false">
      <c r="B887" s="36"/>
      <c r="C887" s="36"/>
      <c r="D887" s="34"/>
      <c r="E887" s="34"/>
      <c r="F887" s="32"/>
      <c r="G887" s="32" t="e">
        <f aca="false">G886+#REF!-F887</f>
        <v>#REF!</v>
      </c>
    </row>
    <row r="888" customFormat="false" ht="13" hidden="false" customHeight="false" outlineLevel="0" collapsed="false">
      <c r="B888" s="36"/>
      <c r="C888" s="36"/>
      <c r="D888" s="34"/>
      <c r="E888" s="34"/>
      <c r="F888" s="32"/>
      <c r="G888" s="32" t="e">
        <f aca="false">G887+#REF!-F888</f>
        <v>#REF!</v>
      </c>
    </row>
    <row r="889" customFormat="false" ht="13" hidden="false" customHeight="false" outlineLevel="0" collapsed="false">
      <c r="B889" s="36"/>
      <c r="C889" s="36"/>
      <c r="D889" s="34"/>
      <c r="E889" s="34"/>
      <c r="F889" s="32"/>
      <c r="G889" s="32" t="e">
        <f aca="false">G888+#REF!-F889</f>
        <v>#REF!</v>
      </c>
    </row>
    <row r="890" customFormat="false" ht="13" hidden="false" customHeight="false" outlineLevel="0" collapsed="false">
      <c r="B890" s="36"/>
      <c r="C890" s="36"/>
      <c r="D890" s="34"/>
      <c r="E890" s="34"/>
      <c r="F890" s="32"/>
      <c r="G890" s="32" t="e">
        <f aca="false">G889+#REF!-F890</f>
        <v>#REF!</v>
      </c>
    </row>
    <row r="891" customFormat="false" ht="13" hidden="false" customHeight="false" outlineLevel="0" collapsed="false">
      <c r="B891" s="36"/>
      <c r="C891" s="36"/>
      <c r="D891" s="34"/>
      <c r="E891" s="34"/>
      <c r="F891" s="32"/>
      <c r="G891" s="32" t="e">
        <f aca="false">G890+#REF!-F891</f>
        <v>#REF!</v>
      </c>
    </row>
    <row r="892" customFormat="false" ht="13" hidden="false" customHeight="false" outlineLevel="0" collapsed="false">
      <c r="B892" s="36"/>
      <c r="C892" s="36"/>
      <c r="D892" s="34"/>
      <c r="E892" s="34"/>
      <c r="F892" s="32"/>
      <c r="G892" s="32" t="e">
        <f aca="false">G891+#REF!-F892</f>
        <v>#REF!</v>
      </c>
    </row>
    <row r="893" customFormat="false" ht="13" hidden="false" customHeight="false" outlineLevel="0" collapsed="false">
      <c r="B893" s="36"/>
      <c r="C893" s="36"/>
      <c r="D893" s="34"/>
      <c r="E893" s="34"/>
      <c r="F893" s="32"/>
      <c r="G893" s="32" t="e">
        <f aca="false">G892+#REF!-F893</f>
        <v>#REF!</v>
      </c>
    </row>
    <row r="894" customFormat="false" ht="13" hidden="false" customHeight="false" outlineLevel="0" collapsed="false">
      <c r="B894" s="36"/>
      <c r="C894" s="36"/>
      <c r="D894" s="34"/>
      <c r="E894" s="34"/>
      <c r="F894" s="32"/>
      <c r="G894" s="32" t="e">
        <f aca="false">G893+#REF!-F894</f>
        <v>#REF!</v>
      </c>
    </row>
    <row r="895" customFormat="false" ht="13" hidden="false" customHeight="false" outlineLevel="0" collapsed="false">
      <c r="B895" s="36"/>
      <c r="C895" s="36"/>
      <c r="D895" s="34"/>
      <c r="E895" s="34"/>
      <c r="F895" s="32"/>
      <c r="G895" s="32" t="e">
        <f aca="false">G894+#REF!-F895</f>
        <v>#REF!</v>
      </c>
    </row>
    <row r="896" customFormat="false" ht="13" hidden="false" customHeight="false" outlineLevel="0" collapsed="false">
      <c r="B896" s="36"/>
      <c r="C896" s="36"/>
      <c r="D896" s="34"/>
      <c r="E896" s="34"/>
      <c r="F896" s="32"/>
      <c r="G896" s="32" t="e">
        <f aca="false">G895+#REF!-F896</f>
        <v>#REF!</v>
      </c>
    </row>
    <row r="897" customFormat="false" ht="13" hidden="false" customHeight="false" outlineLevel="0" collapsed="false">
      <c r="B897" s="36"/>
      <c r="C897" s="36"/>
      <c r="D897" s="34"/>
      <c r="E897" s="34"/>
      <c r="F897" s="32"/>
      <c r="G897" s="32" t="e">
        <f aca="false">G896+#REF!-F897</f>
        <v>#REF!</v>
      </c>
    </row>
    <row r="898" customFormat="false" ht="13" hidden="false" customHeight="false" outlineLevel="0" collapsed="false">
      <c r="B898" s="36"/>
      <c r="C898" s="36"/>
      <c r="D898" s="34"/>
      <c r="E898" s="34"/>
      <c r="F898" s="32"/>
      <c r="G898" s="32" t="e">
        <f aca="false">G897+#REF!-F898</f>
        <v>#REF!</v>
      </c>
    </row>
    <row r="899" customFormat="false" ht="13" hidden="false" customHeight="false" outlineLevel="0" collapsed="false">
      <c r="B899" s="36"/>
      <c r="C899" s="36"/>
      <c r="D899" s="34"/>
      <c r="E899" s="34"/>
      <c r="F899" s="32"/>
      <c r="G899" s="32" t="e">
        <f aca="false">G898+#REF!-F899</f>
        <v>#REF!</v>
      </c>
    </row>
    <row r="900" customFormat="false" ht="13" hidden="false" customHeight="false" outlineLevel="0" collapsed="false">
      <c r="B900" s="36"/>
      <c r="C900" s="36"/>
      <c r="D900" s="34"/>
      <c r="E900" s="34"/>
      <c r="F900" s="32"/>
      <c r="G900" s="32" t="e">
        <f aca="false">G899+#REF!-F900</f>
        <v>#REF!</v>
      </c>
    </row>
    <row r="901" customFormat="false" ht="13" hidden="false" customHeight="false" outlineLevel="0" collapsed="false">
      <c r="B901" s="36"/>
      <c r="C901" s="36"/>
      <c r="D901" s="34"/>
      <c r="E901" s="34"/>
      <c r="F901" s="32"/>
      <c r="G901" s="32" t="e">
        <f aca="false">G900+#REF!-F901</f>
        <v>#REF!</v>
      </c>
    </row>
    <row r="902" customFormat="false" ht="13" hidden="false" customHeight="false" outlineLevel="0" collapsed="false">
      <c r="B902" s="36"/>
      <c r="C902" s="36"/>
      <c r="D902" s="34"/>
      <c r="E902" s="34"/>
      <c r="F902" s="32"/>
      <c r="G902" s="32" t="e">
        <f aca="false">G901+#REF!-F902</f>
        <v>#REF!</v>
      </c>
    </row>
    <row r="903" customFormat="false" ht="13" hidden="false" customHeight="false" outlineLevel="0" collapsed="false">
      <c r="B903" s="36"/>
      <c r="C903" s="36"/>
      <c r="D903" s="34"/>
      <c r="E903" s="34"/>
      <c r="F903" s="32"/>
      <c r="G903" s="32" t="e">
        <f aca="false">G902+#REF!-F903</f>
        <v>#REF!</v>
      </c>
    </row>
    <row r="904" customFormat="false" ht="13" hidden="false" customHeight="false" outlineLevel="0" collapsed="false">
      <c r="B904" s="36"/>
      <c r="C904" s="36"/>
      <c r="D904" s="34"/>
      <c r="E904" s="34"/>
      <c r="F904" s="32"/>
      <c r="G904" s="32" t="e">
        <f aca="false">G903+#REF!-F904</f>
        <v>#REF!</v>
      </c>
    </row>
    <row r="905" customFormat="false" ht="13" hidden="false" customHeight="false" outlineLevel="0" collapsed="false">
      <c r="B905" s="36"/>
      <c r="C905" s="36"/>
      <c r="D905" s="34"/>
      <c r="E905" s="34"/>
      <c r="F905" s="32"/>
      <c r="G905" s="32" t="e">
        <f aca="false">G904+#REF!-F905</f>
        <v>#REF!</v>
      </c>
    </row>
    <row r="906" customFormat="false" ht="13" hidden="false" customHeight="false" outlineLevel="0" collapsed="false">
      <c r="B906" s="36"/>
      <c r="C906" s="36"/>
      <c r="D906" s="34"/>
      <c r="E906" s="34"/>
      <c r="F906" s="32"/>
      <c r="G906" s="32" t="e">
        <f aca="false">G905+#REF!-F906</f>
        <v>#REF!</v>
      </c>
    </row>
    <row r="907" customFormat="false" ht="13" hidden="false" customHeight="false" outlineLevel="0" collapsed="false">
      <c r="B907" s="36"/>
      <c r="C907" s="36"/>
      <c r="D907" s="34"/>
      <c r="E907" s="34"/>
      <c r="F907" s="32"/>
      <c r="G907" s="32" t="e">
        <f aca="false">G906+#REF!-F907</f>
        <v>#REF!</v>
      </c>
    </row>
    <row r="908" customFormat="false" ht="13" hidden="false" customHeight="false" outlineLevel="0" collapsed="false">
      <c r="B908" s="36"/>
      <c r="C908" s="36"/>
      <c r="D908" s="34"/>
      <c r="E908" s="34"/>
      <c r="F908" s="32"/>
      <c r="G908" s="32" t="e">
        <f aca="false">G907+#REF!-F908</f>
        <v>#REF!</v>
      </c>
    </row>
    <row r="909" customFormat="false" ht="13" hidden="false" customHeight="false" outlineLevel="0" collapsed="false">
      <c r="B909" s="36"/>
      <c r="C909" s="36"/>
      <c r="D909" s="34"/>
      <c r="E909" s="34"/>
      <c r="F909" s="32"/>
      <c r="G909" s="32" t="e">
        <f aca="false">G908+#REF!-F909</f>
        <v>#REF!</v>
      </c>
    </row>
    <row r="910" customFormat="false" ht="13" hidden="false" customHeight="false" outlineLevel="0" collapsed="false">
      <c r="B910" s="36"/>
      <c r="C910" s="36"/>
      <c r="D910" s="34"/>
      <c r="E910" s="34"/>
      <c r="F910" s="32"/>
      <c r="G910" s="32" t="e">
        <f aca="false">G909+#REF!-F910</f>
        <v>#REF!</v>
      </c>
    </row>
    <row r="911" customFormat="false" ht="13" hidden="false" customHeight="false" outlineLevel="0" collapsed="false">
      <c r="B911" s="36"/>
      <c r="C911" s="36"/>
      <c r="D911" s="34"/>
      <c r="E911" s="34"/>
      <c r="F911" s="32"/>
      <c r="G911" s="32" t="e">
        <f aca="false">G910+#REF!-F911</f>
        <v>#REF!</v>
      </c>
    </row>
    <row r="912" customFormat="false" ht="13" hidden="false" customHeight="false" outlineLevel="0" collapsed="false">
      <c r="B912" s="36"/>
      <c r="C912" s="36"/>
      <c r="D912" s="34"/>
      <c r="E912" s="34"/>
      <c r="F912" s="32"/>
      <c r="G912" s="32" t="e">
        <f aca="false">G911+#REF!-F912</f>
        <v>#REF!</v>
      </c>
    </row>
    <row r="913" customFormat="false" ht="13" hidden="false" customHeight="false" outlineLevel="0" collapsed="false">
      <c r="B913" s="36"/>
      <c r="C913" s="36"/>
      <c r="D913" s="34"/>
      <c r="E913" s="34"/>
      <c r="F913" s="32"/>
      <c r="G913" s="32" t="e">
        <f aca="false">G912+#REF!-F913</f>
        <v>#REF!</v>
      </c>
    </row>
    <row r="914" customFormat="false" ht="13" hidden="false" customHeight="false" outlineLevel="0" collapsed="false">
      <c r="B914" s="36"/>
      <c r="C914" s="36"/>
      <c r="D914" s="34"/>
      <c r="E914" s="34"/>
      <c r="F914" s="32"/>
      <c r="G914" s="32" t="e">
        <f aca="false">G913+#REF!-F914</f>
        <v>#REF!</v>
      </c>
    </row>
    <row r="915" customFormat="false" ht="13" hidden="false" customHeight="false" outlineLevel="0" collapsed="false">
      <c r="B915" s="36"/>
      <c r="C915" s="36"/>
      <c r="D915" s="34"/>
      <c r="E915" s="34"/>
      <c r="F915" s="32"/>
      <c r="G915" s="32" t="e">
        <f aca="false">G914+#REF!-F915</f>
        <v>#REF!</v>
      </c>
    </row>
    <row r="916" customFormat="false" ht="13" hidden="false" customHeight="false" outlineLevel="0" collapsed="false">
      <c r="B916" s="36"/>
      <c r="C916" s="36"/>
      <c r="D916" s="34"/>
      <c r="E916" s="34"/>
      <c r="F916" s="32"/>
      <c r="G916" s="32" t="e">
        <f aca="false">G915+#REF!-F916</f>
        <v>#REF!</v>
      </c>
    </row>
    <row r="917" customFormat="false" ht="13" hidden="false" customHeight="false" outlineLevel="0" collapsed="false">
      <c r="B917" s="36"/>
      <c r="C917" s="36"/>
      <c r="D917" s="34"/>
      <c r="E917" s="34"/>
      <c r="F917" s="32"/>
      <c r="G917" s="32" t="e">
        <f aca="false">G916+#REF!-F917</f>
        <v>#REF!</v>
      </c>
    </row>
    <row r="918" customFormat="false" ht="13" hidden="false" customHeight="false" outlineLevel="0" collapsed="false">
      <c r="B918" s="36"/>
      <c r="C918" s="36"/>
      <c r="D918" s="34"/>
      <c r="E918" s="34"/>
      <c r="F918" s="32"/>
      <c r="G918" s="32" t="e">
        <f aca="false">G917+#REF!-F918</f>
        <v>#REF!</v>
      </c>
    </row>
    <row r="919" customFormat="false" ht="13" hidden="false" customHeight="false" outlineLevel="0" collapsed="false">
      <c r="B919" s="36"/>
      <c r="C919" s="36"/>
      <c r="D919" s="34"/>
      <c r="E919" s="34"/>
      <c r="F919" s="32"/>
      <c r="G919" s="32" t="e">
        <f aca="false">G918+#REF!-F919</f>
        <v>#REF!</v>
      </c>
    </row>
    <row r="920" customFormat="false" ht="13" hidden="false" customHeight="false" outlineLevel="0" collapsed="false">
      <c r="B920" s="36"/>
      <c r="C920" s="36"/>
      <c r="D920" s="34"/>
      <c r="E920" s="34"/>
      <c r="F920" s="32"/>
      <c r="G920" s="32" t="e">
        <f aca="false">G919+#REF!-F920</f>
        <v>#REF!</v>
      </c>
    </row>
    <row r="921" customFormat="false" ht="13" hidden="false" customHeight="false" outlineLevel="0" collapsed="false">
      <c r="B921" s="36"/>
      <c r="C921" s="36"/>
      <c r="D921" s="34"/>
      <c r="E921" s="34"/>
      <c r="F921" s="32"/>
      <c r="G921" s="32" t="e">
        <f aca="false">G920+#REF!-F921</f>
        <v>#REF!</v>
      </c>
    </row>
    <row r="922" customFormat="false" ht="13" hidden="false" customHeight="false" outlineLevel="0" collapsed="false">
      <c r="B922" s="36"/>
      <c r="C922" s="36"/>
      <c r="D922" s="34"/>
      <c r="E922" s="34"/>
      <c r="F922" s="32"/>
      <c r="G922" s="32" t="e">
        <f aca="false">G921+#REF!-F922</f>
        <v>#REF!</v>
      </c>
    </row>
    <row r="923" customFormat="false" ht="13" hidden="false" customHeight="false" outlineLevel="0" collapsed="false">
      <c r="B923" s="36"/>
      <c r="C923" s="36"/>
      <c r="D923" s="34"/>
      <c r="E923" s="34"/>
      <c r="F923" s="32"/>
      <c r="G923" s="32" t="e">
        <f aca="false">G922+#REF!-F923</f>
        <v>#REF!</v>
      </c>
    </row>
    <row r="924" customFormat="false" ht="13" hidden="false" customHeight="false" outlineLevel="0" collapsed="false">
      <c r="B924" s="36"/>
      <c r="C924" s="36"/>
      <c r="D924" s="34"/>
      <c r="E924" s="34"/>
      <c r="F924" s="32"/>
      <c r="G924" s="32" t="e">
        <f aca="false">G923+#REF!-F924</f>
        <v>#REF!</v>
      </c>
    </row>
    <row r="925" customFormat="false" ht="13" hidden="false" customHeight="false" outlineLevel="0" collapsed="false">
      <c r="B925" s="36"/>
      <c r="C925" s="36"/>
      <c r="D925" s="34"/>
      <c r="E925" s="34"/>
      <c r="F925" s="32"/>
      <c r="G925" s="32" t="e">
        <f aca="false">G924+#REF!-F925</f>
        <v>#REF!</v>
      </c>
    </row>
    <row r="926" customFormat="false" ht="13" hidden="false" customHeight="false" outlineLevel="0" collapsed="false">
      <c r="B926" s="36"/>
      <c r="C926" s="36"/>
      <c r="D926" s="34"/>
      <c r="E926" s="34"/>
      <c r="F926" s="32"/>
      <c r="G926" s="32" t="e">
        <f aca="false">G925+#REF!-F926</f>
        <v>#REF!</v>
      </c>
    </row>
    <row r="927" customFormat="false" ht="13" hidden="false" customHeight="false" outlineLevel="0" collapsed="false">
      <c r="B927" s="36"/>
      <c r="C927" s="36"/>
      <c r="D927" s="34"/>
      <c r="E927" s="34"/>
      <c r="F927" s="32"/>
      <c r="G927" s="32" t="e">
        <f aca="false">G926+#REF!-F927</f>
        <v>#REF!</v>
      </c>
    </row>
    <row r="928" customFormat="false" ht="13" hidden="false" customHeight="false" outlineLevel="0" collapsed="false">
      <c r="B928" s="36"/>
      <c r="C928" s="36"/>
      <c r="D928" s="34"/>
      <c r="E928" s="34"/>
      <c r="F928" s="32"/>
      <c r="G928" s="32" t="e">
        <f aca="false">G927+#REF!-F928</f>
        <v>#REF!</v>
      </c>
    </row>
    <row r="929" customFormat="false" ht="13" hidden="false" customHeight="false" outlineLevel="0" collapsed="false">
      <c r="B929" s="36"/>
      <c r="C929" s="36"/>
      <c r="D929" s="34"/>
      <c r="E929" s="34"/>
      <c r="F929" s="32"/>
      <c r="G929" s="32" t="e">
        <f aca="false">G928+#REF!-F929</f>
        <v>#REF!</v>
      </c>
    </row>
    <row r="930" customFormat="false" ht="13" hidden="false" customHeight="false" outlineLevel="0" collapsed="false">
      <c r="B930" s="36"/>
      <c r="C930" s="36"/>
      <c r="D930" s="34"/>
      <c r="E930" s="34"/>
      <c r="F930" s="32"/>
      <c r="G930" s="32" t="e">
        <f aca="false">G929+#REF!-F930</f>
        <v>#REF!</v>
      </c>
    </row>
    <row r="931" customFormat="false" ht="13" hidden="false" customHeight="false" outlineLevel="0" collapsed="false">
      <c r="B931" s="36"/>
      <c r="C931" s="36"/>
      <c r="D931" s="34"/>
      <c r="E931" s="34"/>
      <c r="F931" s="32"/>
      <c r="G931" s="32" t="e">
        <f aca="false">G930+#REF!-F931</f>
        <v>#REF!</v>
      </c>
    </row>
    <row r="932" customFormat="false" ht="13" hidden="false" customHeight="false" outlineLevel="0" collapsed="false">
      <c r="B932" s="36"/>
      <c r="C932" s="36"/>
      <c r="D932" s="34"/>
      <c r="E932" s="34"/>
      <c r="F932" s="32"/>
      <c r="G932" s="32" t="e">
        <f aca="false">G931+#REF!-F932</f>
        <v>#REF!</v>
      </c>
    </row>
    <row r="933" customFormat="false" ht="13" hidden="false" customHeight="false" outlineLevel="0" collapsed="false">
      <c r="B933" s="36"/>
      <c r="C933" s="36"/>
      <c r="D933" s="34"/>
      <c r="E933" s="34"/>
      <c r="F933" s="32"/>
      <c r="G933" s="32" t="e">
        <f aca="false">G932+#REF!-F933</f>
        <v>#REF!</v>
      </c>
    </row>
    <row r="934" customFormat="false" ht="13" hidden="false" customHeight="false" outlineLevel="0" collapsed="false">
      <c r="B934" s="36"/>
      <c r="C934" s="36"/>
      <c r="D934" s="34"/>
      <c r="E934" s="34"/>
      <c r="F934" s="32"/>
      <c r="G934" s="32" t="e">
        <f aca="false">G933+#REF!-F934</f>
        <v>#REF!</v>
      </c>
    </row>
    <row r="935" customFormat="false" ht="13" hidden="false" customHeight="false" outlineLevel="0" collapsed="false">
      <c r="B935" s="36"/>
      <c r="C935" s="36"/>
      <c r="D935" s="34"/>
      <c r="E935" s="34"/>
      <c r="F935" s="32"/>
      <c r="G935" s="32" t="e">
        <f aca="false">G934+#REF!-F935</f>
        <v>#REF!</v>
      </c>
    </row>
    <row r="936" customFormat="false" ht="13" hidden="false" customHeight="false" outlineLevel="0" collapsed="false">
      <c r="B936" s="36"/>
      <c r="C936" s="36"/>
      <c r="D936" s="34"/>
      <c r="E936" s="34"/>
      <c r="F936" s="32"/>
      <c r="G936" s="32" t="e">
        <f aca="false">G935+#REF!-F936</f>
        <v>#REF!</v>
      </c>
    </row>
    <row r="937" customFormat="false" ht="13" hidden="false" customHeight="false" outlineLevel="0" collapsed="false">
      <c r="B937" s="36"/>
      <c r="C937" s="36"/>
      <c r="D937" s="34"/>
      <c r="E937" s="34"/>
      <c r="F937" s="32"/>
      <c r="G937" s="32" t="e">
        <f aca="false">G936+#REF!-F937</f>
        <v>#REF!</v>
      </c>
    </row>
    <row r="938" customFormat="false" ht="13" hidden="false" customHeight="false" outlineLevel="0" collapsed="false">
      <c r="B938" s="36"/>
      <c r="C938" s="36"/>
      <c r="D938" s="34"/>
      <c r="E938" s="34"/>
      <c r="F938" s="32"/>
      <c r="G938" s="32" t="e">
        <f aca="false">G937+#REF!-F938</f>
        <v>#REF!</v>
      </c>
    </row>
    <row r="939" customFormat="false" ht="13" hidden="false" customHeight="false" outlineLevel="0" collapsed="false">
      <c r="B939" s="36"/>
      <c r="C939" s="36"/>
      <c r="D939" s="34"/>
      <c r="E939" s="34"/>
      <c r="F939" s="32"/>
      <c r="G939" s="32" t="e">
        <f aca="false">G938+#REF!-F939</f>
        <v>#REF!</v>
      </c>
    </row>
    <row r="940" customFormat="false" ht="13" hidden="false" customHeight="false" outlineLevel="0" collapsed="false">
      <c r="B940" s="36"/>
      <c r="C940" s="36"/>
      <c r="D940" s="34"/>
      <c r="E940" s="34"/>
      <c r="F940" s="32"/>
      <c r="G940" s="32" t="e">
        <f aca="false">G939+#REF!-F940</f>
        <v>#REF!</v>
      </c>
    </row>
    <row r="941" customFormat="false" ht="13" hidden="false" customHeight="false" outlineLevel="0" collapsed="false">
      <c r="B941" s="36"/>
      <c r="C941" s="36"/>
      <c r="D941" s="34"/>
      <c r="E941" s="34"/>
      <c r="F941" s="32"/>
      <c r="G941" s="32" t="e">
        <f aca="false">G940+#REF!-F941</f>
        <v>#REF!</v>
      </c>
    </row>
    <row r="942" customFormat="false" ht="13" hidden="false" customHeight="false" outlineLevel="0" collapsed="false">
      <c r="B942" s="36"/>
      <c r="C942" s="36"/>
      <c r="D942" s="34"/>
      <c r="E942" s="34"/>
      <c r="F942" s="32"/>
      <c r="G942" s="32" t="e">
        <f aca="false">G941+#REF!-F942</f>
        <v>#REF!</v>
      </c>
    </row>
    <row r="943" customFormat="false" ht="13" hidden="false" customHeight="false" outlineLevel="0" collapsed="false">
      <c r="B943" s="36"/>
      <c r="C943" s="36"/>
      <c r="D943" s="34"/>
      <c r="E943" s="34"/>
      <c r="F943" s="32"/>
      <c r="G943" s="32" t="e">
        <f aca="false">G942+#REF!-F943</f>
        <v>#REF!</v>
      </c>
    </row>
    <row r="944" customFormat="false" ht="13" hidden="false" customHeight="false" outlineLevel="0" collapsed="false">
      <c r="B944" s="36"/>
      <c r="C944" s="36"/>
      <c r="D944" s="34"/>
      <c r="E944" s="34"/>
      <c r="F944" s="32"/>
      <c r="G944" s="32" t="e">
        <f aca="false">G943+#REF!-F944</f>
        <v>#REF!</v>
      </c>
    </row>
    <row r="945" customFormat="false" ht="13" hidden="false" customHeight="false" outlineLevel="0" collapsed="false">
      <c r="B945" s="36"/>
      <c r="C945" s="36"/>
      <c r="D945" s="34"/>
      <c r="E945" s="34"/>
      <c r="F945" s="32"/>
      <c r="G945" s="32" t="e">
        <f aca="false">G944+#REF!-F945</f>
        <v>#REF!</v>
      </c>
    </row>
    <row r="946" customFormat="false" ht="13" hidden="false" customHeight="false" outlineLevel="0" collapsed="false">
      <c r="B946" s="36"/>
      <c r="C946" s="36"/>
      <c r="D946" s="34"/>
      <c r="E946" s="34"/>
      <c r="F946" s="32"/>
      <c r="G946" s="32" t="e">
        <f aca="false">G945+#REF!-F946</f>
        <v>#REF!</v>
      </c>
    </row>
    <row r="947" customFormat="false" ht="13" hidden="false" customHeight="false" outlineLevel="0" collapsed="false">
      <c r="B947" s="36"/>
      <c r="C947" s="36"/>
      <c r="D947" s="34"/>
      <c r="E947" s="34"/>
      <c r="F947" s="32"/>
      <c r="G947" s="32" t="e">
        <f aca="false">G946+#REF!-F947</f>
        <v>#REF!</v>
      </c>
    </row>
    <row r="948" customFormat="false" ht="13" hidden="false" customHeight="false" outlineLevel="0" collapsed="false">
      <c r="B948" s="36"/>
      <c r="C948" s="36"/>
      <c r="D948" s="34"/>
      <c r="E948" s="34"/>
      <c r="F948" s="32"/>
      <c r="G948" s="32" t="e">
        <f aca="false">G947+#REF!-F948</f>
        <v>#REF!</v>
      </c>
    </row>
    <row r="949" customFormat="false" ht="13" hidden="false" customHeight="false" outlineLevel="0" collapsed="false">
      <c r="B949" s="36"/>
      <c r="C949" s="36"/>
      <c r="D949" s="34"/>
      <c r="E949" s="34"/>
      <c r="F949" s="32"/>
      <c r="G949" s="32" t="e">
        <f aca="false">G948+#REF!-F949</f>
        <v>#REF!</v>
      </c>
    </row>
    <row r="950" customFormat="false" ht="13" hidden="false" customHeight="false" outlineLevel="0" collapsed="false">
      <c r="B950" s="36"/>
      <c r="C950" s="36"/>
      <c r="D950" s="34"/>
      <c r="E950" s="34"/>
      <c r="F950" s="32"/>
      <c r="G950" s="32" t="e">
        <f aca="false">G949+#REF!-F950</f>
        <v>#REF!</v>
      </c>
    </row>
    <row r="951" customFormat="false" ht="13" hidden="false" customHeight="false" outlineLevel="0" collapsed="false">
      <c r="B951" s="36"/>
      <c r="C951" s="36"/>
      <c r="D951" s="34"/>
      <c r="E951" s="34"/>
      <c r="F951" s="32"/>
      <c r="G951" s="32" t="e">
        <f aca="false">G950+#REF!-F951</f>
        <v>#REF!</v>
      </c>
    </row>
    <row r="952" customFormat="false" ht="13" hidden="false" customHeight="false" outlineLevel="0" collapsed="false">
      <c r="B952" s="36"/>
      <c r="C952" s="36"/>
      <c r="D952" s="34"/>
      <c r="E952" s="34"/>
      <c r="F952" s="32"/>
      <c r="G952" s="32" t="e">
        <f aca="false">G951+#REF!-F952</f>
        <v>#REF!</v>
      </c>
    </row>
    <row r="953" customFormat="false" ht="13" hidden="false" customHeight="false" outlineLevel="0" collapsed="false">
      <c r="B953" s="36"/>
      <c r="C953" s="36"/>
      <c r="D953" s="34"/>
      <c r="E953" s="34"/>
      <c r="F953" s="32"/>
      <c r="G953" s="32" t="e">
        <f aca="false">G952+#REF!-F953</f>
        <v>#REF!</v>
      </c>
    </row>
    <row r="954" customFormat="false" ht="13" hidden="false" customHeight="false" outlineLevel="0" collapsed="false">
      <c r="B954" s="36"/>
      <c r="C954" s="36"/>
      <c r="D954" s="34"/>
      <c r="E954" s="34"/>
      <c r="F954" s="32"/>
      <c r="G954" s="32" t="e">
        <f aca="false">G953+#REF!-F954</f>
        <v>#REF!</v>
      </c>
    </row>
    <row r="955" customFormat="false" ht="13" hidden="false" customHeight="false" outlineLevel="0" collapsed="false">
      <c r="B955" s="36"/>
      <c r="C955" s="36"/>
      <c r="D955" s="34"/>
      <c r="E955" s="34"/>
      <c r="F955" s="32"/>
      <c r="G955" s="32" t="e">
        <f aca="false">G954+#REF!-F955</f>
        <v>#REF!</v>
      </c>
    </row>
    <row r="956" customFormat="false" ht="13" hidden="false" customHeight="false" outlineLevel="0" collapsed="false">
      <c r="B956" s="36"/>
      <c r="C956" s="36"/>
      <c r="D956" s="34"/>
      <c r="E956" s="34"/>
      <c r="F956" s="32"/>
      <c r="G956" s="32" t="e">
        <f aca="false">G955+#REF!-F956</f>
        <v>#REF!</v>
      </c>
    </row>
    <row r="957" customFormat="false" ht="13" hidden="false" customHeight="false" outlineLevel="0" collapsed="false">
      <c r="B957" s="36"/>
      <c r="C957" s="36"/>
      <c r="D957" s="34"/>
      <c r="E957" s="34"/>
      <c r="F957" s="32"/>
      <c r="G957" s="32" t="e">
        <f aca="false">G956+#REF!-F957</f>
        <v>#REF!</v>
      </c>
    </row>
    <row r="958" customFormat="false" ht="13" hidden="false" customHeight="false" outlineLevel="0" collapsed="false">
      <c r="B958" s="36"/>
      <c r="C958" s="36"/>
      <c r="D958" s="34"/>
      <c r="E958" s="34"/>
      <c r="F958" s="32"/>
      <c r="G958" s="32" t="e">
        <f aca="false">G957+#REF!-F958</f>
        <v>#REF!</v>
      </c>
    </row>
    <row r="959" customFormat="false" ht="13" hidden="false" customHeight="false" outlineLevel="0" collapsed="false">
      <c r="B959" s="36"/>
      <c r="C959" s="36"/>
      <c r="D959" s="34"/>
      <c r="E959" s="34"/>
      <c r="F959" s="32"/>
      <c r="G959" s="32" t="e">
        <f aca="false">G958+#REF!-F959</f>
        <v>#REF!</v>
      </c>
    </row>
    <row r="960" customFormat="false" ht="13" hidden="false" customHeight="false" outlineLevel="0" collapsed="false">
      <c r="B960" s="36"/>
      <c r="C960" s="36"/>
      <c r="D960" s="34"/>
      <c r="E960" s="34"/>
      <c r="F960" s="32"/>
      <c r="G960" s="32" t="e">
        <f aca="false">G959+#REF!-F960</f>
        <v>#REF!</v>
      </c>
    </row>
    <row r="961" customFormat="false" ht="13" hidden="false" customHeight="false" outlineLevel="0" collapsed="false">
      <c r="B961" s="36"/>
      <c r="C961" s="36"/>
      <c r="D961" s="34"/>
      <c r="E961" s="34"/>
      <c r="F961" s="32"/>
      <c r="G961" s="32" t="e">
        <f aca="false">G960+#REF!-F961</f>
        <v>#REF!</v>
      </c>
    </row>
    <row r="962" customFormat="false" ht="13" hidden="false" customHeight="false" outlineLevel="0" collapsed="false">
      <c r="B962" s="36"/>
      <c r="C962" s="36"/>
      <c r="D962" s="34"/>
      <c r="E962" s="34"/>
      <c r="F962" s="32"/>
      <c r="G962" s="32" t="e">
        <f aca="false">G961+#REF!-F962</f>
        <v>#REF!</v>
      </c>
    </row>
    <row r="963" customFormat="false" ht="13" hidden="false" customHeight="false" outlineLevel="0" collapsed="false">
      <c r="B963" s="36"/>
      <c r="C963" s="36"/>
      <c r="D963" s="34"/>
      <c r="E963" s="34"/>
      <c r="F963" s="32"/>
      <c r="G963" s="32" t="e">
        <f aca="false">G962+#REF!-F963</f>
        <v>#REF!</v>
      </c>
    </row>
    <row r="964" customFormat="false" ht="13" hidden="false" customHeight="false" outlineLevel="0" collapsed="false">
      <c r="B964" s="36"/>
      <c r="C964" s="36"/>
      <c r="D964" s="34"/>
      <c r="E964" s="34"/>
      <c r="F964" s="32"/>
      <c r="G964" s="32" t="e">
        <f aca="false">G963+#REF!-F964</f>
        <v>#REF!</v>
      </c>
    </row>
    <row r="965" customFormat="false" ht="13" hidden="false" customHeight="false" outlineLevel="0" collapsed="false">
      <c r="B965" s="36"/>
      <c r="C965" s="36"/>
      <c r="D965" s="34"/>
      <c r="E965" s="34"/>
      <c r="F965" s="32"/>
      <c r="G965" s="32" t="e">
        <f aca="false">G964+#REF!-F965</f>
        <v>#REF!</v>
      </c>
    </row>
    <row r="966" customFormat="false" ht="13" hidden="false" customHeight="false" outlineLevel="0" collapsed="false">
      <c r="B966" s="36"/>
      <c r="C966" s="36"/>
      <c r="D966" s="34"/>
      <c r="E966" s="34"/>
      <c r="F966" s="32"/>
      <c r="G966" s="32" t="e">
        <f aca="false">G965+#REF!-F966</f>
        <v>#REF!</v>
      </c>
    </row>
    <row r="967" customFormat="false" ht="13" hidden="false" customHeight="false" outlineLevel="0" collapsed="false">
      <c r="B967" s="36"/>
      <c r="C967" s="36"/>
      <c r="D967" s="34"/>
      <c r="E967" s="34"/>
      <c r="F967" s="32"/>
      <c r="G967" s="32" t="e">
        <f aca="false">G966+#REF!-F967</f>
        <v>#REF!</v>
      </c>
    </row>
    <row r="968" customFormat="false" ht="13" hidden="false" customHeight="false" outlineLevel="0" collapsed="false">
      <c r="B968" s="36"/>
      <c r="C968" s="36"/>
      <c r="D968" s="34"/>
      <c r="E968" s="34"/>
      <c r="F968" s="32"/>
      <c r="G968" s="32" t="e">
        <f aca="false">G967+#REF!-F968</f>
        <v>#REF!</v>
      </c>
    </row>
    <row r="969" customFormat="false" ht="13" hidden="false" customHeight="false" outlineLevel="0" collapsed="false">
      <c r="B969" s="36"/>
      <c r="C969" s="36"/>
      <c r="D969" s="34"/>
      <c r="E969" s="34"/>
      <c r="F969" s="32"/>
      <c r="G969" s="32" t="e">
        <f aca="false">G968+#REF!-F969</f>
        <v>#REF!</v>
      </c>
    </row>
    <row r="970" customFormat="false" ht="13" hidden="false" customHeight="false" outlineLevel="0" collapsed="false">
      <c r="B970" s="36"/>
      <c r="C970" s="36"/>
      <c r="D970" s="34"/>
      <c r="E970" s="34"/>
      <c r="F970" s="32"/>
      <c r="G970" s="32" t="e">
        <f aca="false">G969+#REF!-F970</f>
        <v>#REF!</v>
      </c>
    </row>
    <row r="971" customFormat="false" ht="13" hidden="false" customHeight="false" outlineLevel="0" collapsed="false">
      <c r="B971" s="36"/>
      <c r="C971" s="36"/>
      <c r="D971" s="34"/>
      <c r="E971" s="34"/>
      <c r="F971" s="32"/>
      <c r="G971" s="32" t="e">
        <f aca="false">G970+#REF!-F971</f>
        <v>#REF!</v>
      </c>
    </row>
    <row r="972" customFormat="false" ht="13" hidden="false" customHeight="false" outlineLevel="0" collapsed="false">
      <c r="B972" s="36"/>
      <c r="C972" s="36"/>
      <c r="D972" s="34"/>
      <c r="E972" s="34"/>
      <c r="F972" s="32"/>
      <c r="G972" s="32" t="e">
        <f aca="false">G971+#REF!-F972</f>
        <v>#REF!</v>
      </c>
    </row>
    <row r="973" customFormat="false" ht="13" hidden="false" customHeight="false" outlineLevel="0" collapsed="false">
      <c r="B973" s="36"/>
      <c r="C973" s="36"/>
      <c r="D973" s="34"/>
      <c r="E973" s="34"/>
      <c r="F973" s="32"/>
      <c r="G973" s="32" t="e">
        <f aca="false">G972+#REF!-F973</f>
        <v>#REF!</v>
      </c>
    </row>
    <row r="974" customFormat="false" ht="13" hidden="false" customHeight="false" outlineLevel="0" collapsed="false">
      <c r="B974" s="36"/>
      <c r="C974" s="36"/>
      <c r="D974" s="34"/>
      <c r="E974" s="34"/>
      <c r="F974" s="32"/>
      <c r="G974" s="32" t="e">
        <f aca="false">G973+#REF!-F974</f>
        <v>#REF!</v>
      </c>
    </row>
    <row r="975" customFormat="false" ht="13" hidden="false" customHeight="false" outlineLevel="0" collapsed="false">
      <c r="B975" s="36"/>
      <c r="C975" s="36"/>
      <c r="D975" s="34"/>
      <c r="E975" s="34"/>
      <c r="F975" s="32"/>
      <c r="G975" s="32" t="e">
        <f aca="false">G974+#REF!-F975</f>
        <v>#REF!</v>
      </c>
    </row>
    <row r="976" customFormat="false" ht="13" hidden="false" customHeight="false" outlineLevel="0" collapsed="false">
      <c r="B976" s="36"/>
      <c r="C976" s="36"/>
      <c r="D976" s="34"/>
      <c r="E976" s="34"/>
      <c r="F976" s="32"/>
      <c r="G976" s="32" t="e">
        <f aca="false">G975+#REF!-F976</f>
        <v>#REF!</v>
      </c>
    </row>
    <row r="977" customFormat="false" ht="13" hidden="false" customHeight="false" outlineLevel="0" collapsed="false">
      <c r="B977" s="36"/>
      <c r="C977" s="36"/>
      <c r="D977" s="34"/>
      <c r="E977" s="34"/>
      <c r="F977" s="32"/>
      <c r="G977" s="32" t="e">
        <f aca="false">G976+#REF!-F977</f>
        <v>#REF!</v>
      </c>
    </row>
    <row r="978" customFormat="false" ht="13" hidden="false" customHeight="false" outlineLevel="0" collapsed="false">
      <c r="B978" s="36"/>
      <c r="C978" s="36"/>
      <c r="D978" s="34"/>
      <c r="E978" s="34"/>
      <c r="F978" s="32"/>
      <c r="G978" s="32" t="e">
        <f aca="false">G977+#REF!-F978</f>
        <v>#REF!</v>
      </c>
    </row>
    <row r="979" customFormat="false" ht="13" hidden="false" customHeight="false" outlineLevel="0" collapsed="false">
      <c r="B979" s="36"/>
      <c r="C979" s="36"/>
      <c r="D979" s="34"/>
      <c r="E979" s="34"/>
      <c r="F979" s="32"/>
      <c r="G979" s="32" t="e">
        <f aca="false">G978+#REF!-F979</f>
        <v>#REF!</v>
      </c>
    </row>
    <row r="980" customFormat="false" ht="13" hidden="false" customHeight="false" outlineLevel="0" collapsed="false">
      <c r="B980" s="36"/>
      <c r="C980" s="36"/>
      <c r="D980" s="34"/>
      <c r="E980" s="34"/>
      <c r="F980" s="32"/>
      <c r="G980" s="32" t="e">
        <f aca="false">G979+#REF!-F980</f>
        <v>#REF!</v>
      </c>
    </row>
    <row r="981" customFormat="false" ht="13" hidden="false" customHeight="false" outlineLevel="0" collapsed="false">
      <c r="B981" s="36"/>
      <c r="C981" s="36"/>
      <c r="D981" s="34"/>
      <c r="E981" s="34"/>
      <c r="F981" s="32"/>
      <c r="G981" s="32" t="e">
        <f aca="false">G980+#REF!-F981</f>
        <v>#REF!</v>
      </c>
    </row>
    <row r="982" customFormat="false" ht="13" hidden="false" customHeight="false" outlineLevel="0" collapsed="false">
      <c r="B982" s="36"/>
      <c r="C982" s="36"/>
      <c r="D982" s="34"/>
      <c r="E982" s="34"/>
      <c r="F982" s="32"/>
      <c r="G982" s="32" t="e">
        <f aca="false">G981+#REF!-F982</f>
        <v>#REF!</v>
      </c>
    </row>
    <row r="983" customFormat="false" ht="13" hidden="false" customHeight="false" outlineLevel="0" collapsed="false">
      <c r="B983" s="36"/>
      <c r="C983" s="36"/>
      <c r="D983" s="34"/>
      <c r="E983" s="34"/>
      <c r="F983" s="32"/>
      <c r="G983" s="32" t="e">
        <f aca="false">G982+#REF!-F983</f>
        <v>#REF!</v>
      </c>
    </row>
    <row r="984" customFormat="false" ht="13" hidden="false" customHeight="false" outlineLevel="0" collapsed="false">
      <c r="B984" s="36"/>
      <c r="C984" s="36"/>
      <c r="D984" s="34"/>
      <c r="E984" s="34"/>
      <c r="F984" s="32"/>
      <c r="G984" s="32" t="e">
        <f aca="false">G983+#REF!-F984</f>
        <v>#REF!</v>
      </c>
    </row>
    <row r="985" customFormat="false" ht="13" hidden="false" customHeight="false" outlineLevel="0" collapsed="false">
      <c r="B985" s="36"/>
      <c r="C985" s="36"/>
      <c r="D985" s="34"/>
      <c r="E985" s="34"/>
      <c r="F985" s="32"/>
      <c r="G985" s="32" t="e">
        <f aca="false">G984+#REF!-F985</f>
        <v>#REF!</v>
      </c>
    </row>
    <row r="986" customFormat="false" ht="13" hidden="false" customHeight="false" outlineLevel="0" collapsed="false">
      <c r="B986" s="36"/>
      <c r="C986" s="36"/>
      <c r="D986" s="34"/>
      <c r="E986" s="34"/>
      <c r="F986" s="32"/>
      <c r="G986" s="32" t="e">
        <f aca="false">G985+#REF!-F986</f>
        <v>#REF!</v>
      </c>
    </row>
    <row r="987" customFormat="false" ht="13" hidden="false" customHeight="false" outlineLevel="0" collapsed="false">
      <c r="B987" s="36"/>
      <c r="C987" s="36"/>
      <c r="D987" s="34"/>
      <c r="E987" s="34"/>
      <c r="F987" s="32"/>
      <c r="G987" s="32" t="e">
        <f aca="false">G986+#REF!-F987</f>
        <v>#REF!</v>
      </c>
    </row>
    <row r="988" customFormat="false" ht="13" hidden="false" customHeight="false" outlineLevel="0" collapsed="false">
      <c r="B988" s="36"/>
      <c r="C988" s="36"/>
      <c r="D988" s="34"/>
      <c r="E988" s="34"/>
      <c r="F988" s="32"/>
      <c r="G988" s="32" t="e">
        <f aca="false">G987+#REF!-F988</f>
        <v>#REF!</v>
      </c>
    </row>
    <row r="989" customFormat="false" ht="13" hidden="false" customHeight="false" outlineLevel="0" collapsed="false">
      <c r="B989" s="36"/>
      <c r="C989" s="36"/>
      <c r="D989" s="34"/>
      <c r="E989" s="34"/>
      <c r="F989" s="32"/>
      <c r="G989" s="32" t="e">
        <f aca="false">G988+#REF!-F989</f>
        <v>#REF!</v>
      </c>
    </row>
    <row r="990" customFormat="false" ht="13" hidden="false" customHeight="false" outlineLevel="0" collapsed="false">
      <c r="B990" s="36"/>
      <c r="C990" s="36"/>
      <c r="D990" s="34"/>
      <c r="E990" s="34"/>
      <c r="F990" s="32"/>
      <c r="G990" s="32" t="e">
        <f aca="false">G989+#REF!-F990</f>
        <v>#REF!</v>
      </c>
    </row>
    <row r="991" customFormat="false" ht="13" hidden="false" customHeight="false" outlineLevel="0" collapsed="false">
      <c r="B991" s="36"/>
      <c r="C991" s="36"/>
      <c r="D991" s="34"/>
      <c r="E991" s="34"/>
      <c r="F991" s="32"/>
      <c r="G991" s="32" t="e">
        <f aca="false">G990+#REF!-F991</f>
        <v>#REF!</v>
      </c>
    </row>
    <row r="992" customFormat="false" ht="13" hidden="false" customHeight="false" outlineLevel="0" collapsed="false">
      <c r="B992" s="36"/>
      <c r="C992" s="36"/>
      <c r="D992" s="34"/>
      <c r="E992" s="34"/>
      <c r="F992" s="32"/>
      <c r="G992" s="32" t="e">
        <f aca="false">G991+#REF!-F992</f>
        <v>#REF!</v>
      </c>
    </row>
    <row r="993" customFormat="false" ht="13" hidden="false" customHeight="false" outlineLevel="0" collapsed="false">
      <c r="B993" s="36"/>
      <c r="C993" s="36"/>
      <c r="D993" s="34"/>
      <c r="E993" s="34"/>
      <c r="F993" s="32"/>
      <c r="G993" s="32" t="e">
        <f aca="false">G992+#REF!-F993</f>
        <v>#REF!</v>
      </c>
    </row>
    <row r="994" customFormat="false" ht="13" hidden="false" customHeight="false" outlineLevel="0" collapsed="false">
      <c r="B994" s="36"/>
      <c r="C994" s="36"/>
      <c r="D994" s="34"/>
      <c r="E994" s="34"/>
      <c r="F994" s="32"/>
      <c r="G994" s="32" t="e">
        <f aca="false">G993+#REF!-F994</f>
        <v>#REF!</v>
      </c>
    </row>
    <row r="995" customFormat="false" ht="13" hidden="false" customHeight="false" outlineLevel="0" collapsed="false">
      <c r="B995" s="36"/>
      <c r="C995" s="36"/>
      <c r="D995" s="34"/>
      <c r="E995" s="34"/>
      <c r="F995" s="32"/>
      <c r="G995" s="32" t="e">
        <f aca="false">G994+#REF!-F995</f>
        <v>#REF!</v>
      </c>
    </row>
    <row r="996" customFormat="false" ht="13" hidden="false" customHeight="false" outlineLevel="0" collapsed="false">
      <c r="B996" s="36"/>
      <c r="C996" s="36"/>
      <c r="D996" s="34"/>
      <c r="E996" s="34"/>
      <c r="F996" s="32"/>
      <c r="G996" s="32" t="e">
        <f aca="false">G995+#REF!-F996</f>
        <v>#REF!</v>
      </c>
    </row>
    <row r="997" customFormat="false" ht="13" hidden="false" customHeight="false" outlineLevel="0" collapsed="false">
      <c r="B997" s="36"/>
      <c r="C997" s="36"/>
      <c r="D997" s="34"/>
      <c r="E997" s="34"/>
      <c r="F997" s="32"/>
      <c r="G997" s="32" t="e">
        <f aca="false">G996+#REF!-F997</f>
        <v>#REF!</v>
      </c>
    </row>
    <row r="998" customFormat="false" ht="13" hidden="false" customHeight="false" outlineLevel="0" collapsed="false">
      <c r="B998" s="36"/>
      <c r="C998" s="36"/>
      <c r="D998" s="34"/>
      <c r="E998" s="34"/>
      <c r="F998" s="32"/>
      <c r="G998" s="32" t="e">
        <f aca="false">G997+#REF!-F998</f>
        <v>#REF!</v>
      </c>
    </row>
    <row r="999" customFormat="false" ht="13" hidden="false" customHeight="false" outlineLevel="0" collapsed="false">
      <c r="B999" s="36"/>
      <c r="C999" s="36"/>
      <c r="D999" s="34"/>
      <c r="E999" s="34"/>
      <c r="F999" s="32"/>
      <c r="G999" s="32" t="e">
        <f aca="false">G998+#REF!-F999</f>
        <v>#REF!</v>
      </c>
    </row>
    <row r="1000" customFormat="false" ht="13" hidden="false" customHeight="false" outlineLevel="0" collapsed="false">
      <c r="B1000" s="36"/>
      <c r="C1000" s="36"/>
      <c r="D1000" s="34"/>
      <c r="E1000" s="34"/>
      <c r="F1000" s="32"/>
      <c r="G1000" s="32" t="e">
        <f aca="false">G999+#REF!-F1000</f>
        <v>#REF!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72" man="true" max="16383" min="0"/>
  </rowBreaks>
  <colBreaks count="1" manualBreakCount="1">
    <brk id="3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0000FF"/>
    <pageSetUpPr fitToPage="false"/>
  </sheetPr>
  <dimension ref="A1:AV4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0" topLeftCell="AJ1" activePane="topRight" state="frozen"/>
      <selection pane="topLeft" activeCell="A1" activeCellId="0" sqref="A1"/>
      <selection pane="topRight" activeCell="H41" activeCellId="0" sqref="H41"/>
    </sheetView>
  </sheetViews>
  <sheetFormatPr defaultColWidth="14.515625" defaultRowHeight="15.75" zeroHeight="false" outlineLevelRow="1" outlineLevelCol="0"/>
  <cols>
    <col collapsed="false" customWidth="true" hidden="false" outlineLevel="0" max="1" min="1" style="0" width="8.16"/>
    <col collapsed="false" customWidth="true" hidden="false" outlineLevel="0" max="2" min="2" style="0" width="18.33"/>
    <col collapsed="false" customWidth="true" hidden="false" outlineLevel="0" max="3" min="3" style="0" width="24.83"/>
    <col collapsed="false" customWidth="true" hidden="false" outlineLevel="0" max="4" min="4" style="0" width="18.16"/>
    <col collapsed="false" customWidth="true" hidden="false" outlineLevel="0" max="5" min="5" style="0" width="24.83"/>
    <col collapsed="false" customWidth="true" hidden="false" outlineLevel="0" max="6" min="6" style="0" width="18.33"/>
    <col collapsed="false" customWidth="true" hidden="false" outlineLevel="0" max="7" min="7" style="0" width="24.83"/>
    <col collapsed="false" customWidth="true" hidden="false" outlineLevel="0" max="9" min="9" style="0" width="24.83"/>
    <col collapsed="false" customWidth="true" hidden="false" outlineLevel="0" max="11" min="11" style="0" width="24.83"/>
    <col collapsed="false" customWidth="true" hidden="false" outlineLevel="0" max="13" min="13" style="0" width="24.83"/>
    <col collapsed="false" customWidth="true" hidden="false" outlineLevel="0" max="15" min="15" style="0" width="24.83"/>
    <col collapsed="false" customWidth="true" hidden="false" outlineLevel="0" max="17" min="17" style="0" width="24.83"/>
    <col collapsed="false" customWidth="true" hidden="false" outlineLevel="0" max="19" min="19" style="0" width="24.83"/>
    <col collapsed="false" customWidth="true" hidden="false" outlineLevel="0" max="21" min="21" style="0" width="24.83"/>
    <col collapsed="false" customWidth="true" hidden="false" outlineLevel="0" max="23" min="23" style="0" width="24.83"/>
    <col collapsed="false" customWidth="true" hidden="false" outlineLevel="0" max="24" min="24" style="0" width="18.66"/>
    <col collapsed="false" customWidth="true" hidden="false" outlineLevel="0" max="25" min="25" style="0" width="24.83"/>
    <col collapsed="false" customWidth="true" hidden="false" outlineLevel="0" max="27" min="27" style="0" width="24.83"/>
    <col collapsed="false" customWidth="true" hidden="false" outlineLevel="0" max="29" min="29" style="0" width="24.83"/>
    <col collapsed="false" customWidth="true" hidden="false" outlineLevel="0" max="31" min="31" style="0" width="24.83"/>
    <col collapsed="false" customWidth="true" hidden="false" outlineLevel="0" max="33" min="33" style="0" width="24.83"/>
    <col collapsed="false" customWidth="true" hidden="false" outlineLevel="0" max="34" min="34" style="0" width="19.5"/>
    <col collapsed="false" customWidth="true" hidden="false" outlineLevel="0" max="35" min="35" style="0" width="24.83"/>
    <col collapsed="false" customWidth="true" hidden="false" outlineLevel="0" max="37" min="37" style="0" width="24.83"/>
    <col collapsed="false" customWidth="true" hidden="false" outlineLevel="0" max="39" min="39" style="0" width="24.83"/>
    <col collapsed="false" customWidth="true" hidden="false" outlineLevel="0" max="41" min="41" style="0" width="24.83"/>
    <col collapsed="false" customWidth="true" hidden="false" outlineLevel="0" max="43" min="43" style="0" width="24.83"/>
    <col collapsed="false" customWidth="true" hidden="false" outlineLevel="0" max="45" min="45" style="0" width="9"/>
    <col collapsed="false" customWidth="true" hidden="false" outlineLevel="0" max="47" min="47" style="0" width="24.83"/>
  </cols>
  <sheetData>
    <row r="1" customFormat="false" ht="15.75" hidden="false" customHeight="true" outlineLevel="0" collapsed="false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9"/>
    </row>
    <row r="2" customFormat="false" ht="15.75" hidden="false" customHeight="true" outlineLevel="0" collapsed="false">
      <c r="A2" s="40" t="s">
        <v>7</v>
      </c>
      <c r="B2" s="41" t="s">
        <v>8</v>
      </c>
      <c r="C2" s="41"/>
      <c r="D2" s="41" t="s">
        <v>9</v>
      </c>
      <c r="E2" s="41"/>
      <c r="F2" s="41" t="s">
        <v>10</v>
      </c>
      <c r="G2" s="41"/>
      <c r="H2" s="42" t="s">
        <v>11</v>
      </c>
      <c r="I2" s="42"/>
      <c r="J2" s="42" t="s">
        <v>12</v>
      </c>
      <c r="K2" s="42"/>
      <c r="L2" s="42" t="s">
        <v>13</v>
      </c>
      <c r="M2" s="42"/>
      <c r="N2" s="42" t="s">
        <v>14</v>
      </c>
      <c r="O2" s="42"/>
      <c r="P2" s="43" t="s">
        <v>15</v>
      </c>
      <c r="Q2" s="43"/>
      <c r="R2" s="44" t="s">
        <v>16</v>
      </c>
      <c r="S2" s="44"/>
      <c r="T2" s="44" t="s">
        <v>17</v>
      </c>
      <c r="U2" s="44"/>
      <c r="V2" s="45" t="s">
        <v>18</v>
      </c>
      <c r="W2" s="45"/>
      <c r="X2" s="46" t="s">
        <v>19</v>
      </c>
      <c r="Y2" s="46"/>
      <c r="Z2" s="43" t="s">
        <v>20</v>
      </c>
      <c r="AA2" s="43"/>
      <c r="AB2" s="43" t="s">
        <v>21</v>
      </c>
      <c r="AC2" s="43"/>
      <c r="AD2" s="47" t="s">
        <v>22</v>
      </c>
      <c r="AE2" s="47"/>
      <c r="AF2" s="47" t="s">
        <v>23</v>
      </c>
      <c r="AG2" s="47"/>
      <c r="AH2" s="48" t="s">
        <v>24</v>
      </c>
      <c r="AI2" s="48"/>
      <c r="AJ2" s="48" t="s">
        <v>25</v>
      </c>
      <c r="AK2" s="48"/>
      <c r="AL2" s="49" t="s">
        <v>26</v>
      </c>
      <c r="AM2" s="49"/>
      <c r="AN2" s="50" t="s">
        <v>27</v>
      </c>
      <c r="AO2" s="50"/>
      <c r="AP2" s="50" t="s">
        <v>28</v>
      </c>
      <c r="AQ2" s="50"/>
      <c r="AR2" s="46" t="s">
        <v>29</v>
      </c>
      <c r="AS2" s="46"/>
      <c r="AT2" s="51" t="s">
        <v>30</v>
      </c>
      <c r="AU2" s="51"/>
      <c r="AV2" s="52" t="s">
        <v>31</v>
      </c>
    </row>
    <row r="3" customFormat="false" ht="15.75" hidden="false" customHeight="true" outlineLevel="0" collapsed="false">
      <c r="A3" s="40"/>
      <c r="B3" s="53" t="s">
        <v>32</v>
      </c>
      <c r="C3" s="54" t="s">
        <v>33</v>
      </c>
      <c r="D3" s="53" t="s">
        <v>32</v>
      </c>
      <c r="E3" s="54" t="s">
        <v>33</v>
      </c>
      <c r="F3" s="53" t="s">
        <v>32</v>
      </c>
      <c r="G3" s="54" t="s">
        <v>33</v>
      </c>
      <c r="H3" s="53" t="s">
        <v>32</v>
      </c>
      <c r="I3" s="54" t="s">
        <v>33</v>
      </c>
      <c r="J3" s="53"/>
      <c r="K3" s="54"/>
      <c r="L3" s="53" t="s">
        <v>32</v>
      </c>
      <c r="M3" s="54" t="s">
        <v>33</v>
      </c>
      <c r="N3" s="53" t="s">
        <v>32</v>
      </c>
      <c r="O3" s="54" t="s">
        <v>33</v>
      </c>
      <c r="P3" s="53" t="s">
        <v>32</v>
      </c>
      <c r="Q3" s="54" t="s">
        <v>33</v>
      </c>
      <c r="R3" s="53" t="s">
        <v>32</v>
      </c>
      <c r="S3" s="54" t="s">
        <v>33</v>
      </c>
      <c r="T3" s="53" t="s">
        <v>32</v>
      </c>
      <c r="U3" s="54" t="s">
        <v>33</v>
      </c>
      <c r="V3" s="53" t="s">
        <v>32</v>
      </c>
      <c r="W3" s="54" t="s">
        <v>33</v>
      </c>
      <c r="X3" s="53" t="s">
        <v>32</v>
      </c>
      <c r="Y3" s="54" t="s">
        <v>33</v>
      </c>
      <c r="Z3" s="53" t="s">
        <v>32</v>
      </c>
      <c r="AA3" s="54" t="s">
        <v>33</v>
      </c>
      <c r="AB3" s="53"/>
      <c r="AC3" s="54"/>
      <c r="AD3" s="53" t="s">
        <v>32</v>
      </c>
      <c r="AE3" s="54" t="s">
        <v>33</v>
      </c>
      <c r="AF3" s="53" t="s">
        <v>32</v>
      </c>
      <c r="AG3" s="54" t="s">
        <v>33</v>
      </c>
      <c r="AH3" s="53" t="s">
        <v>32</v>
      </c>
      <c r="AI3" s="54" t="s">
        <v>33</v>
      </c>
      <c r="AJ3" s="53" t="s">
        <v>32</v>
      </c>
      <c r="AK3" s="54" t="s">
        <v>33</v>
      </c>
      <c r="AL3" s="53" t="s">
        <v>32</v>
      </c>
      <c r="AM3" s="54" t="s">
        <v>33</v>
      </c>
      <c r="AN3" s="53" t="s">
        <v>32</v>
      </c>
      <c r="AO3" s="54" t="s">
        <v>33</v>
      </c>
      <c r="AP3" s="53" t="s">
        <v>32</v>
      </c>
      <c r="AQ3" s="54" t="s">
        <v>33</v>
      </c>
      <c r="AR3" s="53" t="s">
        <v>32</v>
      </c>
      <c r="AS3" s="54" t="s">
        <v>34</v>
      </c>
      <c r="AT3" s="53" t="s">
        <v>32</v>
      </c>
      <c r="AU3" s="54" t="s">
        <v>33</v>
      </c>
      <c r="AV3" s="52"/>
    </row>
    <row r="4" customFormat="false" ht="15.75" hidden="false" customHeight="true" outlineLevel="1" collapsed="false">
      <c r="A4" s="55"/>
      <c r="B4" s="56" t="n">
        <v>1034</v>
      </c>
      <c r="C4" s="57"/>
      <c r="D4" s="56" t="n">
        <v>3000</v>
      </c>
      <c r="E4" s="58"/>
      <c r="F4" s="56" t="n">
        <v>12800</v>
      </c>
      <c r="G4" s="58"/>
      <c r="H4" s="56" t="n">
        <v>1500</v>
      </c>
      <c r="I4" s="58"/>
      <c r="J4" s="56" t="n">
        <v>5900</v>
      </c>
      <c r="K4" s="58"/>
      <c r="L4" s="56"/>
      <c r="M4" s="58"/>
      <c r="N4" s="56" t="n">
        <v>10009</v>
      </c>
      <c r="O4" s="58"/>
      <c r="P4" s="56" t="n">
        <v>18000</v>
      </c>
      <c r="Q4" s="58"/>
      <c r="R4" s="56"/>
      <c r="S4" s="58"/>
      <c r="T4" s="56" t="n">
        <v>1200</v>
      </c>
      <c r="U4" s="58"/>
      <c r="V4" s="56" t="n">
        <v>32000</v>
      </c>
      <c r="W4" s="58" t="s">
        <v>35</v>
      </c>
      <c r="X4" s="56" t="n">
        <v>8016</v>
      </c>
      <c r="Y4" s="58"/>
      <c r="Z4" s="56"/>
      <c r="AA4" s="58"/>
      <c r="AB4" s="56" t="n">
        <v>6000</v>
      </c>
      <c r="AC4" s="58"/>
      <c r="AD4" s="56" t="n">
        <v>10600</v>
      </c>
      <c r="AE4" s="58" t="s">
        <v>36</v>
      </c>
      <c r="AF4" s="56" t="n">
        <v>2632</v>
      </c>
      <c r="AG4" s="58"/>
      <c r="AH4" s="56" t="n">
        <v>50432</v>
      </c>
      <c r="AI4" s="58"/>
      <c r="AJ4" s="56" t="n">
        <v>20000</v>
      </c>
      <c r="AK4" s="58"/>
      <c r="AL4" s="56" t="n">
        <v>15000</v>
      </c>
      <c r="AM4" s="58"/>
      <c r="AN4" s="56" t="n">
        <v>4500</v>
      </c>
      <c r="AO4" s="58"/>
      <c r="AP4" s="56" t="n">
        <v>380000</v>
      </c>
      <c r="AQ4" s="58"/>
      <c r="AR4" s="56" t="n">
        <v>1000</v>
      </c>
      <c r="AS4" s="58"/>
      <c r="AT4" s="56" t="n">
        <v>3000</v>
      </c>
      <c r="AU4" s="58"/>
      <c r="AV4" s="59" t="e">
        <f aca="false">X4+Z4+AD4+AF4+AH4+AJ4+AL4+AN4+AP4+#REF!+AR4+AT4</f>
        <v>#REF!</v>
      </c>
    </row>
    <row r="5" customFormat="false" ht="15.75" hidden="false" customHeight="true" outlineLevel="1" collapsed="false">
      <c r="A5" s="55"/>
      <c r="B5" s="60" t="n">
        <v>1509</v>
      </c>
      <c r="C5" s="61"/>
      <c r="D5" s="60" t="n">
        <v>4000</v>
      </c>
      <c r="E5" s="61" t="s">
        <v>37</v>
      </c>
      <c r="F5" s="60" t="n">
        <v>1800</v>
      </c>
      <c r="G5" s="61"/>
      <c r="H5" s="60" t="n">
        <v>15000</v>
      </c>
      <c r="I5" s="61"/>
      <c r="J5" s="60"/>
      <c r="K5" s="61"/>
      <c r="L5" s="60"/>
      <c r="M5" s="61"/>
      <c r="N5" s="60" t="n">
        <v>2756</v>
      </c>
      <c r="O5" s="61"/>
      <c r="P5" s="60"/>
      <c r="Q5" s="61"/>
      <c r="R5" s="60"/>
      <c r="S5" s="61"/>
      <c r="T5" s="60" t="n">
        <v>350</v>
      </c>
      <c r="U5" s="61"/>
      <c r="V5" s="60" t="n">
        <v>2500</v>
      </c>
      <c r="W5" s="61"/>
      <c r="X5" s="60" t="n">
        <v>5395</v>
      </c>
      <c r="Y5" s="61"/>
      <c r="Z5" s="60"/>
      <c r="AA5" s="61"/>
      <c r="AB5" s="60" t="n">
        <v>180</v>
      </c>
      <c r="AC5" s="61"/>
      <c r="AD5" s="60" t="n">
        <v>9864</v>
      </c>
      <c r="AE5" s="61" t="s">
        <v>38</v>
      </c>
      <c r="AF5" s="60" t="n">
        <v>1210</v>
      </c>
      <c r="AG5" s="61"/>
      <c r="AH5" s="60"/>
      <c r="AI5" s="61"/>
      <c r="AJ5" s="60"/>
      <c r="AK5" s="61"/>
      <c r="AL5" s="60"/>
      <c r="AM5" s="61"/>
      <c r="AN5" s="60" t="n">
        <v>4500</v>
      </c>
      <c r="AO5" s="61"/>
      <c r="AP5" s="60"/>
      <c r="AQ5" s="61"/>
      <c r="AR5" s="60" t="n">
        <v>6000</v>
      </c>
      <c r="AS5" s="61"/>
      <c r="AT5" s="60"/>
      <c r="AU5" s="61"/>
      <c r="AV5" s="59" t="e">
        <f aca="false">X5+Z5+AD5+AF5+AH5+AJ5+AL5+AN5+AP5+#REF!+AR5+AT5</f>
        <v>#REF!</v>
      </c>
    </row>
    <row r="6" customFormat="false" ht="15.75" hidden="false" customHeight="true" outlineLevel="1" collapsed="false">
      <c r="A6" s="55"/>
      <c r="B6" s="60" t="n">
        <v>9800</v>
      </c>
      <c r="C6" s="61"/>
      <c r="D6" s="60" t="n">
        <v>69000</v>
      </c>
      <c r="E6" s="61" t="s">
        <v>39</v>
      </c>
      <c r="F6" s="60" t="n">
        <v>2100</v>
      </c>
      <c r="G6" s="61"/>
      <c r="H6" s="60" t="n">
        <v>20000</v>
      </c>
      <c r="I6" s="61"/>
      <c r="J6" s="60"/>
      <c r="K6" s="61"/>
      <c r="L6" s="60"/>
      <c r="M6" s="61"/>
      <c r="N6" s="60" t="n">
        <v>4000</v>
      </c>
      <c r="O6" s="61" t="s">
        <v>40</v>
      </c>
      <c r="P6" s="60"/>
      <c r="Q6" s="61"/>
      <c r="R6" s="60"/>
      <c r="S6" s="61"/>
      <c r="T6" s="60" t="n">
        <v>200</v>
      </c>
      <c r="U6" s="61"/>
      <c r="V6" s="60" t="n">
        <v>3000</v>
      </c>
      <c r="W6" s="61"/>
      <c r="X6" s="60" t="n">
        <v>5550</v>
      </c>
      <c r="Y6" s="61"/>
      <c r="Z6" s="60"/>
      <c r="AA6" s="61"/>
      <c r="AB6" s="60" t="n">
        <v>1080</v>
      </c>
      <c r="AC6" s="61"/>
      <c r="AD6" s="60" t="n">
        <v>5433</v>
      </c>
      <c r="AE6" s="61" t="s">
        <v>17</v>
      </c>
      <c r="AF6" s="60" t="n">
        <v>1040</v>
      </c>
      <c r="AG6" s="61"/>
      <c r="AH6" s="60"/>
      <c r="AI6" s="61"/>
      <c r="AJ6" s="60"/>
      <c r="AK6" s="61"/>
      <c r="AL6" s="60"/>
      <c r="AM6" s="61"/>
      <c r="AN6" s="60" t="n">
        <v>4500</v>
      </c>
      <c r="AO6" s="61"/>
      <c r="AP6" s="60"/>
      <c r="AQ6" s="61"/>
      <c r="AR6" s="60"/>
      <c r="AS6" s="61"/>
      <c r="AT6" s="60"/>
      <c r="AU6" s="61"/>
      <c r="AV6" s="59" t="e">
        <f aca="false">X6+Z6+AD6+AF6+AH6+AJ6+AL6+AN6+AP6+#REF!+AR6+AT6</f>
        <v>#REF!</v>
      </c>
    </row>
    <row r="7" customFormat="false" ht="15.75" hidden="false" customHeight="true" outlineLevel="1" collapsed="false">
      <c r="A7" s="55"/>
      <c r="B7" s="60" t="n">
        <v>5806</v>
      </c>
      <c r="C7" s="61"/>
      <c r="D7" s="60" t="n">
        <v>67500</v>
      </c>
      <c r="E7" s="61" t="s">
        <v>41</v>
      </c>
      <c r="F7" s="60" t="n">
        <v>2158</v>
      </c>
      <c r="G7" s="61"/>
      <c r="H7" s="60" t="n">
        <v>10000</v>
      </c>
      <c r="I7" s="61"/>
      <c r="J7" s="60"/>
      <c r="K7" s="61"/>
      <c r="L7" s="60"/>
      <c r="M7" s="61"/>
      <c r="N7" s="60" t="n">
        <v>6922</v>
      </c>
      <c r="O7" s="61"/>
      <c r="P7" s="60"/>
      <c r="Q7" s="61"/>
      <c r="R7" s="60"/>
      <c r="S7" s="61"/>
      <c r="T7" s="60" t="n">
        <v>400</v>
      </c>
      <c r="U7" s="61"/>
      <c r="V7" s="60" t="n">
        <v>35000</v>
      </c>
      <c r="W7" s="61" t="s">
        <v>42</v>
      </c>
      <c r="X7" s="60" t="n">
        <v>5000</v>
      </c>
      <c r="Y7" s="61"/>
      <c r="Z7" s="60"/>
      <c r="AA7" s="61"/>
      <c r="AB7" s="60" t="n">
        <v>450</v>
      </c>
      <c r="AC7" s="61"/>
      <c r="AD7" s="60"/>
      <c r="AE7" s="61"/>
      <c r="AF7" s="60" t="n">
        <v>4000</v>
      </c>
      <c r="AG7" s="61"/>
      <c r="AH7" s="60"/>
      <c r="AI7" s="61"/>
      <c r="AJ7" s="60"/>
      <c r="AK7" s="61"/>
      <c r="AL7" s="60"/>
      <c r="AM7" s="61"/>
      <c r="AN7" s="60" t="n">
        <v>4500</v>
      </c>
      <c r="AO7" s="61"/>
      <c r="AP7" s="60"/>
      <c r="AQ7" s="61"/>
      <c r="AR7" s="60"/>
      <c r="AS7" s="60"/>
      <c r="AT7" s="62"/>
      <c r="AU7" s="61"/>
      <c r="AV7" s="59" t="e">
        <f aca="false">X7+Z7+AD7+AF7+AH7+AJ7+AL7+AN7+AP7+#REF!+AR7+AT7</f>
        <v>#REF!</v>
      </c>
    </row>
    <row r="8" customFormat="false" ht="15.75" hidden="false" customHeight="true" outlineLevel="1" collapsed="false">
      <c r="A8" s="55"/>
      <c r="B8" s="60" t="n">
        <v>3003</v>
      </c>
      <c r="C8" s="61"/>
      <c r="D8" s="60" t="n">
        <v>118300</v>
      </c>
      <c r="E8" s="61" t="s">
        <v>43</v>
      </c>
      <c r="F8" s="60" t="n">
        <v>150000</v>
      </c>
      <c r="G8" s="61"/>
      <c r="H8" s="60" t="n">
        <v>5000</v>
      </c>
      <c r="I8" s="61"/>
      <c r="J8" s="60"/>
      <c r="K8" s="61"/>
      <c r="L8" s="60"/>
      <c r="M8" s="61"/>
      <c r="N8" s="60" t="n">
        <v>9953</v>
      </c>
      <c r="O8" s="63"/>
      <c r="P8" s="60"/>
      <c r="Q8" s="61"/>
      <c r="R8" s="60"/>
      <c r="S8" s="61"/>
      <c r="T8" s="60" t="n">
        <v>200</v>
      </c>
      <c r="U8" s="61"/>
      <c r="V8" s="60"/>
      <c r="W8" s="61"/>
      <c r="X8" s="60" t="n">
        <v>5534</v>
      </c>
      <c r="Y8" s="61"/>
      <c r="Z8" s="60"/>
      <c r="AA8" s="61"/>
      <c r="AB8" s="60" t="n">
        <v>990</v>
      </c>
      <c r="AC8" s="61"/>
      <c r="AD8" s="60"/>
      <c r="AE8" s="61"/>
      <c r="AF8" s="60" t="n">
        <v>2025</v>
      </c>
      <c r="AG8" s="61"/>
      <c r="AH8" s="60"/>
      <c r="AI8" s="61"/>
      <c r="AJ8" s="60"/>
      <c r="AK8" s="61"/>
      <c r="AL8" s="60"/>
      <c r="AM8" s="61"/>
      <c r="AN8" s="60" t="n">
        <v>4500</v>
      </c>
      <c r="AO8" s="61"/>
      <c r="AP8" s="60"/>
      <c r="AQ8" s="61"/>
      <c r="AR8" s="60"/>
      <c r="AS8" s="61"/>
      <c r="AT8" s="60"/>
      <c r="AU8" s="61"/>
      <c r="AV8" s="59" t="e">
        <f aca="false">X8+Z8+AD8+AF8+AH8+AJ8+AL8+AN8+AP8+#REF!+AR8+AT8</f>
        <v>#REF!</v>
      </c>
    </row>
    <row r="9" customFormat="false" ht="15.75" hidden="false" customHeight="true" outlineLevel="1" collapsed="false">
      <c r="A9" s="55"/>
      <c r="B9" s="60" t="n">
        <v>3950</v>
      </c>
      <c r="C9" s="61"/>
      <c r="D9" s="60" t="n">
        <v>56200</v>
      </c>
      <c r="E9" s="61" t="s">
        <v>44</v>
      </c>
      <c r="F9" s="60" t="n">
        <v>150000</v>
      </c>
      <c r="G9" s="61"/>
      <c r="H9" s="60" t="n">
        <v>12000</v>
      </c>
      <c r="I9" s="61" t="s">
        <v>45</v>
      </c>
      <c r="J9" s="60"/>
      <c r="K9" s="61"/>
      <c r="L9" s="60"/>
      <c r="M9" s="61"/>
      <c r="N9" s="60"/>
      <c r="O9" s="61"/>
      <c r="P9" s="60"/>
      <c r="Q9" s="61"/>
      <c r="R9" s="60"/>
      <c r="S9" s="61"/>
      <c r="T9" s="60" t="n">
        <v>300</v>
      </c>
      <c r="U9" s="61"/>
      <c r="V9" s="60"/>
      <c r="W9" s="61"/>
      <c r="X9" s="60" t="n">
        <v>5454</v>
      </c>
      <c r="Y9" s="61"/>
      <c r="Z9" s="60"/>
      <c r="AA9" s="61"/>
      <c r="AB9" s="60" t="n">
        <v>810</v>
      </c>
      <c r="AC9" s="61"/>
      <c r="AD9" s="60"/>
      <c r="AE9" s="61"/>
      <c r="AF9" s="60" t="n">
        <v>1020</v>
      </c>
      <c r="AG9" s="61"/>
      <c r="AH9" s="60"/>
      <c r="AI9" s="61"/>
      <c r="AJ9" s="60"/>
      <c r="AK9" s="61"/>
      <c r="AL9" s="60"/>
      <c r="AM9" s="61"/>
      <c r="AN9" s="60" t="n">
        <v>24000</v>
      </c>
      <c r="AO9" s="61"/>
      <c r="AP9" s="60"/>
      <c r="AQ9" s="61"/>
      <c r="AR9" s="60"/>
      <c r="AS9" s="61"/>
      <c r="AT9" s="60"/>
      <c r="AU9" s="61"/>
      <c r="AV9" s="59" t="e">
        <f aca="false">X9+Z9+AD9+AF9+AH9+AJ9+AL9+AN9+AP9+#REF!+AR9+AT9</f>
        <v>#REF!</v>
      </c>
    </row>
    <row r="10" customFormat="false" ht="15.75" hidden="false" customHeight="true" outlineLevel="1" collapsed="false">
      <c r="A10" s="55"/>
      <c r="B10" s="60" t="n">
        <v>1300</v>
      </c>
      <c r="C10" s="61"/>
      <c r="D10" s="60" t="n">
        <v>5000</v>
      </c>
      <c r="E10" s="61" t="s">
        <v>46</v>
      </c>
      <c r="F10" s="60"/>
      <c r="G10" s="61"/>
      <c r="H10" s="60" t="n">
        <v>10000</v>
      </c>
      <c r="I10" s="61" t="s">
        <v>45</v>
      </c>
      <c r="J10" s="60"/>
      <c r="K10" s="61"/>
      <c r="L10" s="60"/>
      <c r="M10" s="61"/>
      <c r="N10" s="60"/>
      <c r="O10" s="61"/>
      <c r="P10" s="60"/>
      <c r="Q10" s="61"/>
      <c r="R10" s="60"/>
      <c r="S10" s="61"/>
      <c r="T10" s="60" t="n">
        <v>300</v>
      </c>
      <c r="U10" s="61"/>
      <c r="V10" s="60"/>
      <c r="W10" s="64"/>
      <c r="X10" s="60" t="n">
        <v>5850</v>
      </c>
      <c r="Y10" s="61"/>
      <c r="Z10" s="60"/>
      <c r="AA10" s="61"/>
      <c r="AB10" s="60" t="n">
        <v>450</v>
      </c>
      <c r="AC10" s="61"/>
      <c r="AD10" s="60"/>
      <c r="AE10" s="61"/>
      <c r="AF10" s="60" t="n">
        <v>110</v>
      </c>
      <c r="AG10" s="61"/>
      <c r="AH10" s="60"/>
      <c r="AI10" s="61"/>
      <c r="AJ10" s="60"/>
      <c r="AK10" s="61"/>
      <c r="AL10" s="60"/>
      <c r="AM10" s="61"/>
      <c r="AN10" s="60" t="n">
        <v>4500</v>
      </c>
      <c r="AO10" s="61"/>
      <c r="AP10" s="60"/>
      <c r="AQ10" s="61"/>
      <c r="AR10" s="60"/>
      <c r="AS10" s="61"/>
      <c r="AT10" s="60"/>
      <c r="AU10" s="61"/>
      <c r="AV10" s="59" t="e">
        <f aca="false">X10+Z10+AD10+AF10+AH10+AJ10+AL10+AN10+AP10+#REF!+AR10+AT10</f>
        <v>#REF!</v>
      </c>
    </row>
    <row r="11" customFormat="false" ht="15.75" hidden="false" customHeight="true" outlineLevel="1" collapsed="false">
      <c r="A11" s="55"/>
      <c r="B11" s="60" t="n">
        <v>1580</v>
      </c>
      <c r="C11" s="61"/>
      <c r="D11" s="60" t="n">
        <v>30000</v>
      </c>
      <c r="E11" s="61" t="s">
        <v>47</v>
      </c>
      <c r="F11" s="60"/>
      <c r="G11" s="61"/>
      <c r="H11" s="60" t="n">
        <v>5000</v>
      </c>
      <c r="I11" s="61" t="s">
        <v>48</v>
      </c>
      <c r="J11" s="60"/>
      <c r="K11" s="61"/>
      <c r="L11" s="60"/>
      <c r="M11" s="61"/>
      <c r="N11" s="60"/>
      <c r="O11" s="61"/>
      <c r="P11" s="60"/>
      <c r="Q11" s="61"/>
      <c r="R11" s="60"/>
      <c r="S11" s="61"/>
      <c r="T11" s="60" t="n">
        <v>500</v>
      </c>
      <c r="U11" s="61"/>
      <c r="V11" s="60"/>
      <c r="W11" s="61"/>
      <c r="X11" s="60" t="n">
        <v>8126</v>
      </c>
      <c r="Y11" s="61"/>
      <c r="Z11" s="60"/>
      <c r="AA11" s="61"/>
      <c r="AB11" s="60" t="n">
        <v>1170</v>
      </c>
      <c r="AC11" s="61"/>
      <c r="AD11" s="60"/>
      <c r="AE11" s="61"/>
      <c r="AF11" s="60" t="n">
        <v>4000</v>
      </c>
      <c r="AG11" s="61"/>
      <c r="AH11" s="60"/>
      <c r="AI11" s="61"/>
      <c r="AJ11" s="60"/>
      <c r="AK11" s="61"/>
      <c r="AL11" s="60"/>
      <c r="AM11" s="61"/>
      <c r="AN11" s="60" t="n">
        <v>4500</v>
      </c>
      <c r="AO11" s="61"/>
      <c r="AP11" s="60"/>
      <c r="AQ11" s="61"/>
      <c r="AR11" s="60"/>
      <c r="AS11" s="61"/>
      <c r="AT11" s="60"/>
      <c r="AU11" s="61"/>
      <c r="AV11" s="59" t="e">
        <f aca="false">X11+Z11+AD11+AF11+AH11+AJ11+AL11+AN11+AP11+#REF!+AR11+AT11</f>
        <v>#REF!</v>
      </c>
    </row>
    <row r="12" customFormat="false" ht="15.75" hidden="false" customHeight="true" outlineLevel="1" collapsed="false">
      <c r="A12" s="55"/>
      <c r="B12" s="60" t="n">
        <v>2442</v>
      </c>
      <c r="C12" s="61"/>
      <c r="D12" s="60" t="n">
        <v>12000</v>
      </c>
      <c r="E12" s="61" t="s">
        <v>49</v>
      </c>
      <c r="F12" s="60"/>
      <c r="G12" s="61"/>
      <c r="H12" s="60" t="n">
        <v>33500</v>
      </c>
      <c r="I12" s="61"/>
      <c r="J12" s="60"/>
      <c r="K12" s="61"/>
      <c r="L12" s="60"/>
      <c r="M12" s="61"/>
      <c r="N12" s="60"/>
      <c r="O12" s="61"/>
      <c r="P12" s="60"/>
      <c r="Q12" s="61"/>
      <c r="R12" s="60"/>
      <c r="S12" s="61"/>
      <c r="T12" s="60" t="n">
        <v>250</v>
      </c>
      <c r="U12" s="61"/>
      <c r="V12" s="60"/>
      <c r="W12" s="61"/>
      <c r="X12" s="60" t="n">
        <v>4403</v>
      </c>
      <c r="Y12" s="61"/>
      <c r="Z12" s="60"/>
      <c r="AA12" s="61"/>
      <c r="AB12" s="60" t="n">
        <v>2250</v>
      </c>
      <c r="AC12" s="61"/>
      <c r="AD12" s="60"/>
      <c r="AE12" s="61"/>
      <c r="AF12" s="60" t="n">
        <v>2361</v>
      </c>
      <c r="AG12" s="61"/>
      <c r="AH12" s="60"/>
      <c r="AI12" s="61"/>
      <c r="AJ12" s="60"/>
      <c r="AK12" s="61"/>
      <c r="AL12" s="60"/>
      <c r="AM12" s="61"/>
      <c r="AN12" s="65" t="n">
        <v>4500</v>
      </c>
      <c r="AO12" s="61"/>
      <c r="AP12" s="60"/>
      <c r="AQ12" s="61"/>
      <c r="AR12" s="60"/>
      <c r="AS12" s="61"/>
      <c r="AT12" s="60"/>
      <c r="AU12" s="61"/>
      <c r="AV12" s="59" t="e">
        <f aca="false">X12+Z12+AD12+AF12+AH12+AJ12+AL12+AN14+AP12+#REF!+AR12+AT12</f>
        <v>#REF!</v>
      </c>
    </row>
    <row r="13" customFormat="false" ht="15.75" hidden="false" customHeight="true" outlineLevel="1" collapsed="false">
      <c r="A13" s="55"/>
      <c r="B13" s="60" t="n">
        <v>1920</v>
      </c>
      <c r="C13" s="61"/>
      <c r="D13" s="60" t="n">
        <v>59040</v>
      </c>
      <c r="E13" s="61" t="s">
        <v>50</v>
      </c>
      <c r="F13" s="60"/>
      <c r="G13" s="61"/>
      <c r="H13" s="60" t="n">
        <v>37500</v>
      </c>
      <c r="I13" s="61"/>
      <c r="J13" s="60"/>
      <c r="K13" s="61"/>
      <c r="L13" s="60"/>
      <c r="M13" s="61"/>
      <c r="N13" s="60"/>
      <c r="O13" s="61"/>
      <c r="P13" s="60"/>
      <c r="Q13" s="61"/>
      <c r="R13" s="60"/>
      <c r="S13" s="61"/>
      <c r="T13" s="65" t="n">
        <v>500</v>
      </c>
      <c r="V13" s="60"/>
      <c r="W13" s="61"/>
      <c r="X13" s="60" t="n">
        <v>4900</v>
      </c>
      <c r="Y13" s="61"/>
      <c r="Z13" s="60"/>
      <c r="AA13" s="61"/>
      <c r="AB13" s="60" t="n">
        <v>700</v>
      </c>
      <c r="AC13" s="61"/>
      <c r="AD13" s="60"/>
      <c r="AE13" s="61"/>
      <c r="AF13" s="60" t="n">
        <v>390</v>
      </c>
      <c r="AG13" s="61"/>
      <c r="AH13" s="60"/>
      <c r="AI13" s="61"/>
      <c r="AJ13" s="60"/>
      <c r="AK13" s="61"/>
      <c r="AL13" s="60"/>
      <c r="AM13" s="61"/>
      <c r="AN13" s="60"/>
      <c r="AO13" s="61"/>
      <c r="AP13" s="60"/>
      <c r="AQ13" s="61"/>
      <c r="AR13" s="60"/>
      <c r="AS13" s="61"/>
      <c r="AT13" s="60"/>
      <c r="AU13" s="61"/>
      <c r="AV13" s="59" t="e">
        <f aca="false">X13+Z13+AD13+AF13+AH13+AJ13+AL13+AN13+AP13+#REF!+AR13+AT13</f>
        <v>#REF!</v>
      </c>
    </row>
    <row r="14" customFormat="false" ht="15.75" hidden="false" customHeight="true" outlineLevel="1" collapsed="false">
      <c r="A14" s="55"/>
      <c r="B14" s="60" t="n">
        <v>1200</v>
      </c>
      <c r="C14" s="61"/>
      <c r="D14" s="60" t="n">
        <v>90000</v>
      </c>
      <c r="E14" s="61" t="s">
        <v>51</v>
      </c>
      <c r="F14" s="60"/>
      <c r="G14" s="61"/>
      <c r="H14" s="60"/>
      <c r="I14" s="61"/>
      <c r="J14" s="60"/>
      <c r="K14" s="61"/>
      <c r="L14" s="60"/>
      <c r="M14" s="61"/>
      <c r="N14" s="60"/>
      <c r="O14" s="61"/>
      <c r="P14" s="60"/>
      <c r="Q14" s="61"/>
      <c r="R14" s="60"/>
      <c r="S14" s="61"/>
      <c r="T14" s="60" t="n">
        <v>350</v>
      </c>
      <c r="U14" s="61"/>
      <c r="V14" s="60"/>
      <c r="W14" s="61"/>
      <c r="X14" s="60" t="n">
        <v>4050</v>
      </c>
      <c r="Y14" s="61"/>
      <c r="Z14" s="60"/>
      <c r="AA14" s="61"/>
      <c r="AB14" s="60" t="n">
        <v>540</v>
      </c>
      <c r="AC14" s="61"/>
      <c r="AD14" s="60"/>
      <c r="AE14" s="61"/>
      <c r="AF14" s="60" t="n">
        <v>200</v>
      </c>
      <c r="AG14" s="64"/>
      <c r="AH14" s="60"/>
      <c r="AI14" s="61"/>
      <c r="AJ14" s="60"/>
      <c r="AK14" s="61"/>
      <c r="AL14" s="60"/>
      <c r="AM14" s="61"/>
      <c r="AN14" s="60"/>
      <c r="AO14" s="61"/>
      <c r="AP14" s="60"/>
      <c r="AQ14" s="61"/>
      <c r="AR14" s="60"/>
      <c r="AS14" s="61"/>
      <c r="AT14" s="60"/>
      <c r="AU14" s="61"/>
      <c r="AV14" s="59" t="e">
        <f aca="false">X14+Z14+AD14+AF14+AH14+AJ14+AL14+AN14+AP14+#REF!+AR14+AT14</f>
        <v>#REF!</v>
      </c>
    </row>
    <row r="15" customFormat="false" ht="15.75" hidden="false" customHeight="true" outlineLevel="1" collapsed="false">
      <c r="A15" s="55"/>
      <c r="B15" s="60" t="n">
        <v>1179</v>
      </c>
      <c r="C15" s="61"/>
      <c r="D15" s="60" t="n">
        <v>63000</v>
      </c>
      <c r="E15" s="61" t="s">
        <v>52</v>
      </c>
      <c r="F15" s="60"/>
      <c r="G15" s="61"/>
      <c r="H15" s="60"/>
      <c r="I15" s="61"/>
      <c r="J15" s="60"/>
      <c r="K15" s="61"/>
      <c r="L15" s="60"/>
      <c r="M15" s="61"/>
      <c r="N15" s="60"/>
      <c r="O15" s="61"/>
      <c r="P15" s="60"/>
      <c r="Q15" s="61"/>
      <c r="R15" s="60"/>
      <c r="S15" s="61"/>
      <c r="T15" s="60" t="n">
        <v>500</v>
      </c>
      <c r="U15" s="61"/>
      <c r="V15" s="60"/>
      <c r="W15" s="61"/>
      <c r="X15" s="60" t="n">
        <v>5161</v>
      </c>
      <c r="Y15" s="61"/>
      <c r="Z15" s="60"/>
      <c r="AA15" s="61"/>
      <c r="AB15" s="60" t="n">
        <v>2700</v>
      </c>
      <c r="AC15" s="61"/>
      <c r="AD15" s="60"/>
      <c r="AE15" s="61"/>
      <c r="AF15" s="60" t="n">
        <v>400</v>
      </c>
      <c r="AG15" s="61"/>
      <c r="AH15" s="60"/>
      <c r="AI15" s="61"/>
      <c r="AJ15" s="60"/>
      <c r="AK15" s="61"/>
      <c r="AL15" s="60"/>
      <c r="AM15" s="61"/>
      <c r="AN15" s="60"/>
      <c r="AO15" s="61"/>
      <c r="AP15" s="60"/>
      <c r="AQ15" s="61"/>
      <c r="AR15" s="60"/>
      <c r="AS15" s="61"/>
      <c r="AT15" s="60"/>
      <c r="AU15" s="61"/>
      <c r="AV15" s="59" t="e">
        <f aca="false">X15+Z15+AD15+AF15+AH15+AJ15+AL15+AN15+AP15+#REF!+AR15+AT15</f>
        <v>#REF!</v>
      </c>
    </row>
    <row r="16" customFormat="false" ht="15.75" hidden="false" customHeight="true" outlineLevel="1" collapsed="false">
      <c r="A16" s="55"/>
      <c r="B16" s="60" t="n">
        <v>1599</v>
      </c>
      <c r="C16" s="61"/>
      <c r="D16" s="60" t="n">
        <v>121300</v>
      </c>
      <c r="E16" s="61" t="s">
        <v>53</v>
      </c>
      <c r="F16" s="60"/>
      <c r="G16" s="61"/>
      <c r="H16" s="60"/>
      <c r="I16" s="61"/>
      <c r="J16" s="60"/>
      <c r="K16" s="61"/>
      <c r="L16" s="60"/>
      <c r="M16" s="61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 t="n">
        <v>5136</v>
      </c>
      <c r="Y16" s="61"/>
      <c r="Z16" s="60"/>
      <c r="AA16" s="61"/>
      <c r="AB16" s="60" t="n">
        <v>1800</v>
      </c>
      <c r="AC16" s="61"/>
      <c r="AD16" s="60"/>
      <c r="AE16" s="61"/>
      <c r="AF16" s="60" t="n">
        <v>4000</v>
      </c>
      <c r="AG16" s="61"/>
      <c r="AH16" s="60"/>
      <c r="AI16" s="63"/>
      <c r="AJ16" s="60"/>
      <c r="AK16" s="61"/>
      <c r="AL16" s="60"/>
      <c r="AM16" s="61"/>
      <c r="AN16" s="60"/>
      <c r="AO16" s="63"/>
      <c r="AP16" s="60"/>
      <c r="AQ16" s="61"/>
      <c r="AR16" s="60"/>
      <c r="AS16" s="61"/>
      <c r="AT16" s="60"/>
      <c r="AU16" s="61"/>
      <c r="AV16" s="59" t="e">
        <f aca="false">X16+Z16+AD16+AF16+AH16+AJ16+AL16+AN16+AP16+#REF!+AR16+AT16</f>
        <v>#REF!</v>
      </c>
    </row>
    <row r="17" customFormat="false" ht="15.75" hidden="false" customHeight="true" outlineLevel="1" collapsed="false">
      <c r="A17" s="55"/>
      <c r="B17" s="60" t="n">
        <v>209</v>
      </c>
      <c r="C17" s="61"/>
      <c r="D17" s="60" t="n">
        <v>74300</v>
      </c>
      <c r="E17" s="61" t="s">
        <v>54</v>
      </c>
      <c r="F17" s="60"/>
      <c r="G17" s="63"/>
      <c r="H17" s="60"/>
      <c r="I17" s="61"/>
      <c r="J17" s="60"/>
      <c r="K17" s="61"/>
      <c r="M17" s="61"/>
      <c r="N17" s="60"/>
      <c r="O17" s="61"/>
      <c r="P17" s="60"/>
      <c r="Q17" s="61"/>
      <c r="R17" s="60"/>
      <c r="S17" s="61"/>
      <c r="T17" s="60"/>
      <c r="U17" s="61"/>
      <c r="V17" s="60"/>
      <c r="W17" s="61"/>
      <c r="X17" s="60" t="n">
        <v>5900</v>
      </c>
      <c r="Y17" s="61"/>
      <c r="Z17" s="60"/>
      <c r="AA17" s="61"/>
      <c r="AB17" s="60" t="n">
        <v>2250</v>
      </c>
      <c r="AC17" s="61"/>
      <c r="AD17" s="60"/>
      <c r="AE17" s="61"/>
      <c r="AF17" s="60" t="n">
        <v>1000</v>
      </c>
      <c r="AG17" s="61"/>
      <c r="AH17" s="60"/>
      <c r="AI17" s="61"/>
      <c r="AJ17" s="60"/>
      <c r="AK17" s="61"/>
      <c r="AL17" s="60"/>
      <c r="AM17" s="61"/>
      <c r="AN17" s="60"/>
      <c r="AO17" s="61"/>
      <c r="AP17" s="60"/>
      <c r="AQ17" s="61"/>
      <c r="AR17" s="60"/>
      <c r="AS17" s="61"/>
      <c r="AT17" s="60"/>
      <c r="AU17" s="61"/>
      <c r="AV17" s="59" t="e">
        <f aca="false">X17+Z17+AD17+AF17+AH17+AJ17+AL17+AN17+AP17+#REF!+AR17+AT17</f>
        <v>#REF!</v>
      </c>
    </row>
    <row r="18" customFormat="false" ht="15.75" hidden="false" customHeight="true" outlineLevel="1" collapsed="false">
      <c r="A18" s="55"/>
      <c r="B18" s="60" t="n">
        <v>389</v>
      </c>
      <c r="C18" s="61"/>
      <c r="D18" s="60" t="n">
        <v>25000</v>
      </c>
      <c r="E18" s="61" t="s">
        <v>55</v>
      </c>
      <c r="F18" s="60"/>
      <c r="G18" s="61"/>
      <c r="H18" s="60"/>
      <c r="I18" s="61"/>
      <c r="J18" s="60"/>
      <c r="K18" s="61"/>
      <c r="L18" s="60"/>
      <c r="M18" s="61"/>
      <c r="N18" s="60"/>
      <c r="O18" s="61"/>
      <c r="P18" s="60"/>
      <c r="Q18" s="61"/>
      <c r="R18" s="60"/>
      <c r="S18" s="61"/>
      <c r="T18" s="60"/>
      <c r="U18" s="61"/>
      <c r="V18" s="60"/>
      <c r="W18" s="61"/>
      <c r="X18" s="60" t="n">
        <v>3700</v>
      </c>
      <c r="Y18" s="61"/>
      <c r="Z18" s="60"/>
      <c r="AA18" s="61"/>
      <c r="AB18" s="60" t="n">
        <v>700</v>
      </c>
      <c r="AC18" s="61"/>
      <c r="AD18" s="60"/>
      <c r="AE18" s="61"/>
      <c r="AF18" s="60"/>
      <c r="AG18" s="61"/>
      <c r="AH18" s="60"/>
      <c r="AI18" s="61"/>
      <c r="AJ18" s="60"/>
      <c r="AK18" s="61"/>
      <c r="AL18" s="60"/>
      <c r="AM18" s="61"/>
      <c r="AN18" s="60"/>
      <c r="AO18" s="61"/>
      <c r="AP18" s="60"/>
      <c r="AQ18" s="61"/>
      <c r="AR18" s="60"/>
      <c r="AS18" s="61"/>
      <c r="AT18" s="60"/>
      <c r="AU18" s="61"/>
      <c r="AV18" s="59" t="e">
        <f aca="false">X18+Z18+AD18+AF18+AH18+AJ18+AL18+AN18+AP18+#REF!+AR18+AT18</f>
        <v>#REF!</v>
      </c>
    </row>
    <row r="19" customFormat="false" ht="15.75" hidden="false" customHeight="true" outlineLevel="1" collapsed="false">
      <c r="A19" s="55"/>
      <c r="B19" s="60" t="n">
        <v>2589</v>
      </c>
      <c r="C19" s="61"/>
      <c r="D19" s="60" t="n">
        <v>64100</v>
      </c>
      <c r="E19" s="61" t="s">
        <v>56</v>
      </c>
      <c r="F19" s="60"/>
      <c r="G19" s="61"/>
      <c r="H19" s="60"/>
      <c r="I19" s="61"/>
      <c r="J19" s="60"/>
      <c r="K19" s="61"/>
      <c r="L19" s="60"/>
      <c r="M19" s="61"/>
      <c r="N19" s="60"/>
      <c r="O19" s="61"/>
      <c r="P19" s="60"/>
      <c r="Q19" s="61"/>
      <c r="R19" s="60"/>
      <c r="S19" s="61"/>
      <c r="T19" s="60"/>
      <c r="U19" s="61"/>
      <c r="V19" s="60"/>
      <c r="W19" s="61"/>
      <c r="X19" s="60" t="n">
        <v>4993</v>
      </c>
      <c r="Y19" s="61"/>
      <c r="Z19" s="60"/>
      <c r="AA19" s="61"/>
      <c r="AB19" s="60" t="n">
        <v>540</v>
      </c>
      <c r="AC19" s="61"/>
      <c r="AD19" s="60"/>
      <c r="AE19" s="61"/>
      <c r="AF19" s="60"/>
      <c r="AG19" s="64"/>
      <c r="AH19" s="60"/>
      <c r="AI19" s="61"/>
      <c r="AJ19" s="60"/>
      <c r="AK19" s="61"/>
      <c r="AL19" s="60"/>
      <c r="AM19" s="61"/>
      <c r="AN19" s="60"/>
      <c r="AO19" s="61"/>
      <c r="AP19" s="60"/>
      <c r="AQ19" s="61"/>
      <c r="AR19" s="60"/>
      <c r="AS19" s="61"/>
      <c r="AT19" s="60"/>
      <c r="AU19" s="61"/>
      <c r="AV19" s="59" t="e">
        <f aca="false">X19+Z19+AD19+AF19+AH19+AJ19+AL19+AN19+AP19+#REF!+AR19+AT19</f>
        <v>#REF!</v>
      </c>
    </row>
    <row r="20" customFormat="false" ht="15.75" hidden="false" customHeight="true" outlineLevel="1" collapsed="false">
      <c r="A20" s="55"/>
      <c r="B20" s="60" t="n">
        <v>1661</v>
      </c>
      <c r="C20" s="61"/>
      <c r="D20" s="60" t="n">
        <v>21800</v>
      </c>
      <c r="E20" s="61" t="s">
        <v>44</v>
      </c>
      <c r="F20" s="60"/>
      <c r="G20" s="61"/>
      <c r="H20" s="60"/>
      <c r="I20" s="61"/>
      <c r="J20" s="60"/>
      <c r="K20" s="61"/>
      <c r="L20" s="60"/>
      <c r="M20" s="61"/>
      <c r="N20" s="60"/>
      <c r="O20" s="61"/>
      <c r="P20" s="60"/>
      <c r="Q20" s="61"/>
      <c r="R20" s="60"/>
      <c r="S20" s="61"/>
      <c r="T20" s="60"/>
      <c r="U20" s="61"/>
      <c r="V20" s="60"/>
      <c r="W20" s="61"/>
      <c r="X20" s="60" t="n">
        <v>3647</v>
      </c>
      <c r="Y20" s="61"/>
      <c r="Z20" s="60"/>
      <c r="AA20" s="61"/>
      <c r="AB20" s="60" t="n">
        <v>1260</v>
      </c>
      <c r="AC20" s="61"/>
      <c r="AD20" s="60"/>
      <c r="AE20" s="61"/>
      <c r="AF20" s="60"/>
      <c r="AG20" s="61"/>
      <c r="AH20" s="60"/>
      <c r="AI20" s="61"/>
      <c r="AJ20" s="60"/>
      <c r="AK20" s="61"/>
      <c r="AL20" s="60"/>
      <c r="AM20" s="61"/>
      <c r="AN20" s="60"/>
      <c r="AO20" s="61"/>
      <c r="AP20" s="66"/>
      <c r="AQ20" s="67"/>
      <c r="AR20" s="60"/>
      <c r="AS20" s="61"/>
      <c r="AT20" s="60"/>
      <c r="AU20" s="61"/>
      <c r="AV20" s="59" t="e">
        <f aca="false">X20+Z20+AD20+AF20+AH20+AJ20+AL20+AN20+AP20+#REF!+AR20+AT20</f>
        <v>#REF!</v>
      </c>
    </row>
    <row r="21" customFormat="false" ht="15.75" hidden="false" customHeight="true" outlineLevel="1" collapsed="false">
      <c r="A21" s="55"/>
      <c r="B21" s="60" t="n">
        <v>1580</v>
      </c>
      <c r="C21" s="61"/>
      <c r="D21" s="60" t="n">
        <v>121500</v>
      </c>
      <c r="E21" s="61" t="s">
        <v>57</v>
      </c>
      <c r="F21" s="60"/>
      <c r="G21" s="61"/>
      <c r="H21" s="60"/>
      <c r="I21" s="61"/>
      <c r="J21" s="60"/>
      <c r="K21" s="61"/>
      <c r="L21" s="60"/>
      <c r="M21" s="61"/>
      <c r="N21" s="60"/>
      <c r="O21" s="61"/>
      <c r="P21" s="60"/>
      <c r="Q21" s="61"/>
      <c r="R21" s="60"/>
      <c r="S21" s="61"/>
      <c r="T21" s="60"/>
      <c r="U21" s="61"/>
      <c r="V21" s="60"/>
      <c r="W21" s="61"/>
      <c r="X21" s="60" t="n">
        <v>5450</v>
      </c>
      <c r="Y21" s="61"/>
      <c r="Z21" s="60"/>
      <c r="AA21" s="61"/>
      <c r="AB21" s="60" t="n">
        <v>400</v>
      </c>
      <c r="AC21" s="61"/>
      <c r="AD21" s="60"/>
      <c r="AE21" s="61"/>
      <c r="AF21" s="60"/>
      <c r="AG21" s="61"/>
      <c r="AH21" s="60"/>
      <c r="AI21" s="61"/>
      <c r="AJ21" s="60"/>
      <c r="AK21" s="61"/>
      <c r="AL21" s="60"/>
      <c r="AM21" s="61"/>
      <c r="AN21" s="60"/>
      <c r="AO21" s="61"/>
      <c r="AP21" s="60"/>
      <c r="AQ21" s="61"/>
      <c r="AR21" s="60"/>
      <c r="AS21" s="61"/>
      <c r="AT21" s="60"/>
      <c r="AU21" s="61"/>
      <c r="AV21" s="59" t="e">
        <f aca="false">X21+Z21+AD21+AF21+AH21+AJ21+AL21+AN21+AP21+#REF!+AR21+AT21</f>
        <v>#REF!</v>
      </c>
    </row>
    <row r="22" customFormat="false" ht="15.75" hidden="false" customHeight="true" outlineLevel="1" collapsed="false">
      <c r="A22" s="55"/>
      <c r="B22" s="60" t="n">
        <v>1145</v>
      </c>
      <c r="C22" s="61"/>
      <c r="D22" s="60" t="n">
        <v>49000</v>
      </c>
      <c r="E22" s="61" t="s">
        <v>58</v>
      </c>
      <c r="F22" s="60"/>
      <c r="G22" s="61"/>
      <c r="H22" s="60"/>
      <c r="I22" s="61"/>
      <c r="J22" s="60"/>
      <c r="K22" s="61"/>
      <c r="L22" s="60"/>
      <c r="M22" s="61"/>
      <c r="N22" s="60"/>
      <c r="O22" s="61"/>
      <c r="P22" s="60"/>
      <c r="Q22" s="61"/>
      <c r="R22" s="60"/>
      <c r="S22" s="61"/>
      <c r="T22" s="60"/>
      <c r="U22" s="61"/>
      <c r="V22" s="60"/>
      <c r="W22" s="61"/>
      <c r="X22" s="60" t="n">
        <v>4400</v>
      </c>
      <c r="Y22" s="61"/>
      <c r="Z22" s="60"/>
      <c r="AA22" s="61"/>
      <c r="AB22" s="60" t="n">
        <v>1100</v>
      </c>
      <c r="AC22" s="61"/>
      <c r="AD22" s="60"/>
      <c r="AE22" s="61"/>
      <c r="AF22" s="60"/>
      <c r="AG22" s="61"/>
      <c r="AH22" s="60"/>
      <c r="AI22" s="61"/>
      <c r="AJ22" s="60"/>
      <c r="AK22" s="61"/>
      <c r="AL22" s="60"/>
      <c r="AM22" s="61"/>
      <c r="AN22" s="60"/>
      <c r="AO22" s="61"/>
      <c r="AP22" s="60"/>
      <c r="AQ22" s="61"/>
      <c r="AR22" s="60"/>
      <c r="AS22" s="61"/>
      <c r="AT22" s="60"/>
      <c r="AU22" s="61"/>
      <c r="AV22" s="59" t="e">
        <f aca="false">X22+Z22+AD22+AF22+AH22+AJ22+AL22+AN22+AP22+#REF!+AR22+AT22</f>
        <v>#REF!</v>
      </c>
    </row>
    <row r="23" customFormat="false" ht="15.75" hidden="false" customHeight="true" outlineLevel="1" collapsed="false">
      <c r="A23" s="55"/>
      <c r="B23" s="60" t="n">
        <v>1219</v>
      </c>
      <c r="C23" s="61"/>
      <c r="D23" s="60" t="n">
        <v>9000</v>
      </c>
      <c r="E23" s="61" t="s">
        <v>59</v>
      </c>
      <c r="F23" s="60"/>
      <c r="G23" s="61"/>
      <c r="H23" s="60"/>
      <c r="I23" s="61"/>
      <c r="J23" s="60"/>
      <c r="K23" s="61"/>
      <c r="L23" s="60"/>
      <c r="M23" s="61"/>
      <c r="N23" s="60"/>
      <c r="O23" s="61"/>
      <c r="P23" s="60"/>
      <c r="Q23" s="61"/>
      <c r="R23" s="60"/>
      <c r="S23" s="61"/>
      <c r="T23" s="60"/>
      <c r="U23" s="61"/>
      <c r="V23" s="60"/>
      <c r="W23" s="61"/>
      <c r="X23" s="60" t="n">
        <v>3956</v>
      </c>
      <c r="Y23" s="61"/>
      <c r="Z23" s="60"/>
      <c r="AA23" s="61"/>
      <c r="AB23" s="60" t="n">
        <v>1100</v>
      </c>
      <c r="AC23" s="61"/>
      <c r="AD23" s="60"/>
      <c r="AE23" s="61"/>
      <c r="AF23" s="60"/>
      <c r="AG23" s="61"/>
      <c r="AH23" s="60"/>
      <c r="AI23" s="61"/>
      <c r="AJ23" s="60"/>
      <c r="AK23" s="61"/>
      <c r="AL23" s="60"/>
      <c r="AM23" s="61"/>
      <c r="AN23" s="60"/>
      <c r="AO23" s="61"/>
      <c r="AP23" s="60"/>
      <c r="AQ23" s="61"/>
      <c r="AR23" s="60"/>
      <c r="AS23" s="61"/>
      <c r="AT23" s="60"/>
      <c r="AU23" s="61"/>
      <c r="AV23" s="59" t="e">
        <f aca="false">X23+Z23+AD23+AF23+AH23+AJ23+AL23+AN23+AP23+#REF!+AR23+AT23</f>
        <v>#REF!</v>
      </c>
    </row>
    <row r="24" customFormat="false" ht="15.75" hidden="false" customHeight="true" outlineLevel="1" collapsed="false">
      <c r="A24" s="55"/>
      <c r="B24" s="60" t="n">
        <v>2160</v>
      </c>
      <c r="C24" s="61"/>
      <c r="D24" s="60" t="n">
        <v>3000</v>
      </c>
      <c r="E24" s="61" t="s">
        <v>60</v>
      </c>
      <c r="F24" s="60"/>
      <c r="G24" s="61"/>
      <c r="H24" s="60"/>
      <c r="I24" s="61"/>
      <c r="J24" s="60"/>
      <c r="K24" s="61"/>
      <c r="L24" s="60"/>
      <c r="M24" s="61"/>
      <c r="N24" s="60"/>
      <c r="O24" s="63"/>
      <c r="P24" s="60"/>
      <c r="Q24" s="61"/>
      <c r="R24" s="60"/>
      <c r="S24" s="61"/>
      <c r="T24" s="60"/>
      <c r="U24" s="61"/>
      <c r="V24" s="60"/>
      <c r="W24" s="61"/>
      <c r="X24" s="60" t="n">
        <v>3920</v>
      </c>
      <c r="Y24" s="61"/>
      <c r="Z24" s="60"/>
      <c r="AA24" s="61"/>
      <c r="AB24" s="60" t="n">
        <v>450</v>
      </c>
      <c r="AC24" s="61"/>
      <c r="AD24" s="60"/>
      <c r="AE24" s="61"/>
      <c r="AF24" s="60"/>
      <c r="AG24" s="61"/>
      <c r="AH24" s="60"/>
      <c r="AI24" s="61"/>
      <c r="AJ24" s="60"/>
      <c r="AK24" s="61"/>
      <c r="AL24" s="60"/>
      <c r="AM24" s="61"/>
      <c r="AN24" s="60"/>
      <c r="AO24" s="61"/>
      <c r="AP24" s="60"/>
      <c r="AQ24" s="61"/>
      <c r="AR24" s="60"/>
      <c r="AS24" s="61"/>
      <c r="AT24" s="60"/>
      <c r="AU24" s="61"/>
      <c r="AV24" s="59" t="e">
        <f aca="false">X24+Z24+AD24+AF24+AH24+AJ24+AL24+AN24+AP24+#REF!+AR24+AT24</f>
        <v>#REF!</v>
      </c>
    </row>
    <row r="25" customFormat="false" ht="15.75" hidden="false" customHeight="true" outlineLevel="1" collapsed="false">
      <c r="A25" s="55"/>
      <c r="B25" s="60" t="n">
        <v>479</v>
      </c>
      <c r="C25" s="61"/>
      <c r="D25" s="60" t="n">
        <v>20000</v>
      </c>
      <c r="E25" s="61" t="s">
        <v>61</v>
      </c>
      <c r="F25" s="60"/>
      <c r="G25" s="61"/>
      <c r="H25" s="60"/>
      <c r="I25" s="61"/>
      <c r="J25" s="60"/>
      <c r="K25" s="61"/>
      <c r="L25" s="60"/>
      <c r="M25" s="61"/>
      <c r="N25" s="60"/>
      <c r="O25" s="63"/>
      <c r="P25" s="60"/>
      <c r="Q25" s="61"/>
      <c r="R25" s="60"/>
      <c r="S25" s="61"/>
      <c r="T25" s="60"/>
      <c r="U25" s="61"/>
      <c r="V25" s="60"/>
      <c r="W25" s="61"/>
      <c r="X25" s="60" t="n">
        <v>5933</v>
      </c>
      <c r="Y25" s="61"/>
      <c r="Z25" s="60"/>
      <c r="AA25" s="61"/>
      <c r="AB25" s="60" t="n">
        <v>600</v>
      </c>
      <c r="AC25" s="61"/>
      <c r="AD25" s="60"/>
      <c r="AE25" s="61"/>
      <c r="AF25" s="60"/>
      <c r="AG25" s="61"/>
      <c r="AH25" s="60"/>
      <c r="AI25" s="61"/>
      <c r="AJ25" s="60"/>
      <c r="AK25" s="61"/>
      <c r="AL25" s="60"/>
      <c r="AM25" s="61"/>
      <c r="AN25" s="60"/>
      <c r="AO25" s="61"/>
      <c r="AP25" s="60"/>
      <c r="AQ25" s="61"/>
      <c r="AR25" s="60"/>
      <c r="AS25" s="61"/>
      <c r="AT25" s="60"/>
      <c r="AU25" s="61"/>
      <c r="AV25" s="59" t="e">
        <f aca="false">X25+Z25+AD25+AF25+AH25+AJ25+AL25+AN25+AP25+#REF!+AR25+AT25</f>
        <v>#REF!</v>
      </c>
    </row>
    <row r="26" customFormat="false" ht="15.75" hidden="false" customHeight="true" outlineLevel="1" collapsed="false">
      <c r="A26" s="55"/>
      <c r="B26" s="60" t="n">
        <v>1700</v>
      </c>
      <c r="C26" s="61"/>
      <c r="D26" s="60" t="n">
        <v>20000</v>
      </c>
      <c r="E26" s="61" t="s">
        <v>62</v>
      </c>
      <c r="F26" s="60"/>
      <c r="G26" s="61"/>
      <c r="H26" s="60"/>
      <c r="I26" s="61"/>
      <c r="J26" s="60"/>
      <c r="K26" s="61"/>
      <c r="L26" s="60"/>
      <c r="M26" s="61"/>
      <c r="N26" s="60"/>
      <c r="O26" s="61"/>
      <c r="P26" s="60"/>
      <c r="Q26" s="61"/>
      <c r="R26" s="60"/>
      <c r="S26" s="61"/>
      <c r="T26" s="60"/>
      <c r="U26" s="61"/>
      <c r="V26" s="60"/>
      <c r="W26" s="61"/>
      <c r="X26" s="60" t="n">
        <v>3700</v>
      </c>
      <c r="Y26" s="61"/>
      <c r="Z26" s="60"/>
      <c r="AA26" s="61"/>
      <c r="AB26" s="60" t="n">
        <v>1000</v>
      </c>
      <c r="AC26" s="61"/>
      <c r="AD26" s="60"/>
      <c r="AE26" s="61"/>
      <c r="AF26" s="60"/>
      <c r="AG26" s="61"/>
      <c r="AH26" s="60"/>
      <c r="AI26" s="61"/>
      <c r="AJ26" s="60"/>
      <c r="AK26" s="61"/>
      <c r="AL26" s="60"/>
      <c r="AM26" s="61"/>
      <c r="AN26" s="60"/>
      <c r="AO26" s="61"/>
      <c r="AP26" s="60"/>
      <c r="AQ26" s="61"/>
      <c r="AR26" s="60"/>
      <c r="AS26" s="61"/>
      <c r="AT26" s="60"/>
      <c r="AU26" s="61"/>
      <c r="AV26" s="59" t="e">
        <f aca="false">X26+Z26+AD26+AF26+AH26+AJ26+AL26+AN26+AP26+#REF!+AR26+AT26</f>
        <v>#REF!</v>
      </c>
    </row>
    <row r="27" customFormat="false" ht="15.75" hidden="false" customHeight="true" outlineLevel="1" collapsed="false">
      <c r="A27" s="55"/>
      <c r="B27" s="60" t="n">
        <v>1269</v>
      </c>
      <c r="C27" s="61"/>
      <c r="D27" s="60" t="n">
        <v>80000</v>
      </c>
      <c r="E27" s="61" t="s">
        <v>63</v>
      </c>
      <c r="F27" s="60"/>
      <c r="G27" s="61"/>
      <c r="H27" s="60"/>
      <c r="I27" s="61"/>
      <c r="J27" s="60"/>
      <c r="K27" s="61"/>
      <c r="L27" s="60"/>
      <c r="M27" s="61"/>
      <c r="N27" s="60"/>
      <c r="O27" s="61"/>
      <c r="P27" s="60"/>
      <c r="Q27" s="61"/>
      <c r="R27" s="60"/>
      <c r="S27" s="61"/>
      <c r="T27" s="60"/>
      <c r="U27" s="61"/>
      <c r="V27" s="60"/>
      <c r="W27" s="61"/>
      <c r="X27" s="60" t="n">
        <v>4700</v>
      </c>
      <c r="Y27" s="61"/>
      <c r="Z27" s="60"/>
      <c r="AA27" s="61"/>
      <c r="AB27" s="60"/>
      <c r="AC27" s="61"/>
      <c r="AD27" s="60"/>
      <c r="AE27" s="61"/>
      <c r="AF27" s="60"/>
      <c r="AG27" s="61"/>
      <c r="AH27" s="60"/>
      <c r="AI27" s="61"/>
      <c r="AJ27" s="60"/>
      <c r="AK27" s="61"/>
      <c r="AL27" s="60"/>
      <c r="AM27" s="61"/>
      <c r="AN27" s="60"/>
      <c r="AO27" s="61"/>
      <c r="AP27" s="60"/>
      <c r="AQ27" s="61"/>
      <c r="AR27" s="60"/>
      <c r="AS27" s="61"/>
      <c r="AT27" s="60"/>
      <c r="AU27" s="61"/>
      <c r="AV27" s="59" t="e">
        <f aca="false">X27+Z27+AD27+AF27+AH27+AJ27+AL27+AN27+AP27+#REF!+AR27+AT27</f>
        <v>#REF!</v>
      </c>
    </row>
    <row r="28" customFormat="false" ht="15.75" hidden="false" customHeight="true" outlineLevel="1" collapsed="false">
      <c r="A28" s="55" t="n">
        <v>25</v>
      </c>
      <c r="B28" s="60" t="n">
        <v>1161</v>
      </c>
      <c r="C28" s="61"/>
      <c r="D28" s="60" t="n">
        <v>40000</v>
      </c>
      <c r="E28" s="61" t="s">
        <v>64</v>
      </c>
      <c r="F28" s="60"/>
      <c r="G28" s="63"/>
      <c r="H28" s="60"/>
      <c r="I28" s="61"/>
      <c r="J28" s="60"/>
      <c r="K28" s="61"/>
      <c r="L28" s="60"/>
      <c r="M28" s="61"/>
      <c r="N28" s="60"/>
      <c r="O28" s="61"/>
      <c r="P28" s="60"/>
      <c r="Q28" s="61"/>
      <c r="R28" s="60"/>
      <c r="S28" s="61"/>
      <c r="T28" s="60"/>
      <c r="U28" s="61"/>
      <c r="V28" s="60"/>
      <c r="W28" s="61"/>
      <c r="X28" s="60"/>
      <c r="Y28" s="61"/>
      <c r="Z28" s="60"/>
      <c r="AA28" s="61"/>
      <c r="AB28" s="60"/>
      <c r="AC28" s="61"/>
      <c r="AD28" s="60"/>
      <c r="AE28" s="61"/>
      <c r="AF28" s="60"/>
      <c r="AG28" s="61"/>
      <c r="AH28" s="60"/>
      <c r="AI28" s="61"/>
      <c r="AJ28" s="60"/>
      <c r="AK28" s="61"/>
      <c r="AL28" s="60"/>
      <c r="AM28" s="61"/>
      <c r="AN28" s="60"/>
      <c r="AO28" s="61"/>
      <c r="AP28" s="60"/>
      <c r="AQ28" s="61"/>
      <c r="AR28" s="60"/>
      <c r="AS28" s="61"/>
      <c r="AT28" s="60"/>
      <c r="AU28" s="61"/>
      <c r="AV28" s="59" t="e">
        <f aca="false">X28+Z28+AD28+AF28+AH28+AJ28+AL28+AN28+AP28+#REF!+AR28+AT28</f>
        <v>#REF!</v>
      </c>
    </row>
    <row r="29" customFormat="false" ht="15.75" hidden="false" customHeight="true" outlineLevel="1" collapsed="false">
      <c r="A29" s="55" t="n">
        <v>26</v>
      </c>
      <c r="B29" s="60"/>
      <c r="C29" s="61"/>
      <c r="D29" s="60" t="n">
        <v>60000</v>
      </c>
      <c r="E29" s="61" t="s">
        <v>47</v>
      </c>
      <c r="F29" s="60"/>
      <c r="G29" s="61"/>
      <c r="H29" s="60"/>
      <c r="I29" s="61"/>
      <c r="J29" s="60"/>
      <c r="K29" s="61"/>
      <c r="L29" s="60"/>
      <c r="M29" s="61"/>
      <c r="N29" s="60"/>
      <c r="O29" s="61"/>
      <c r="P29" s="60"/>
      <c r="Q29" s="61"/>
      <c r="R29" s="60"/>
      <c r="S29" s="61"/>
      <c r="T29" s="60"/>
      <c r="U29" s="61"/>
      <c r="V29" s="60"/>
      <c r="W29" s="61"/>
      <c r="X29" s="60"/>
      <c r="Y29" s="61"/>
      <c r="Z29" s="60"/>
      <c r="AA29" s="61"/>
      <c r="AB29" s="60"/>
      <c r="AC29" s="61"/>
      <c r="AD29" s="60"/>
      <c r="AE29" s="61"/>
      <c r="AF29" s="60"/>
      <c r="AG29" s="61"/>
      <c r="AH29" s="60"/>
      <c r="AI29" s="61"/>
      <c r="AJ29" s="60"/>
      <c r="AK29" s="61"/>
      <c r="AL29" s="60"/>
      <c r="AM29" s="61"/>
      <c r="AN29" s="60"/>
      <c r="AO29" s="61"/>
      <c r="AP29" s="60"/>
      <c r="AQ29" s="61"/>
      <c r="AR29" s="60"/>
      <c r="AS29" s="61"/>
      <c r="AT29" s="60"/>
      <c r="AU29" s="61"/>
      <c r="AV29" s="59" t="e">
        <f aca="false">X29+Z29+AD29+AF29+AH29+AJ29+AL29+AN29+AP29+#REF!+AR29+AT29</f>
        <v>#REF!</v>
      </c>
    </row>
    <row r="30" customFormat="false" ht="15.75" hidden="false" customHeight="true" outlineLevel="1" collapsed="false">
      <c r="A30" s="55" t="n">
        <v>27</v>
      </c>
      <c r="B30" s="60"/>
      <c r="C30" s="61"/>
      <c r="D30" s="60" t="n">
        <v>20000</v>
      </c>
      <c r="E30" s="61" t="s">
        <v>65</v>
      </c>
      <c r="F30" s="60"/>
      <c r="G30" s="61"/>
      <c r="H30" s="60"/>
      <c r="I30" s="61"/>
      <c r="J30" s="60"/>
      <c r="K30" s="61"/>
      <c r="L30" s="60"/>
      <c r="M30" s="61"/>
      <c r="N30" s="60"/>
      <c r="O30" s="61"/>
      <c r="P30" s="60"/>
      <c r="Q30" s="61"/>
      <c r="R30" s="60"/>
      <c r="S30" s="61"/>
      <c r="T30" s="60"/>
      <c r="U30" s="61"/>
      <c r="V30" s="60"/>
      <c r="W30" s="61"/>
      <c r="X30" s="60"/>
      <c r="Y30" s="61"/>
      <c r="Z30" s="60"/>
      <c r="AA30" s="61"/>
      <c r="AB30" s="60"/>
      <c r="AC30" s="61"/>
      <c r="AD30" s="60"/>
      <c r="AE30" s="61"/>
      <c r="AF30" s="60"/>
      <c r="AG30" s="61"/>
      <c r="AH30" s="60"/>
      <c r="AI30" s="61"/>
      <c r="AJ30" s="60"/>
      <c r="AK30" s="61"/>
      <c r="AL30" s="60"/>
      <c r="AM30" s="61"/>
      <c r="AN30" s="60"/>
      <c r="AO30" s="61"/>
      <c r="AP30" s="60"/>
      <c r="AQ30" s="61"/>
      <c r="AR30" s="60"/>
      <c r="AS30" s="61"/>
      <c r="AT30" s="60"/>
      <c r="AU30" s="61"/>
      <c r="AV30" s="59" t="e">
        <f aca="false">X30+Z30+AD30+AF30+AH30+AJ30+AL30+AN30+AP30+#REF!+AR30+AT30</f>
        <v>#REF!</v>
      </c>
    </row>
    <row r="31" customFormat="false" ht="15.75" hidden="false" customHeight="true" outlineLevel="1" collapsed="false">
      <c r="A31" s="55" t="n">
        <v>28</v>
      </c>
      <c r="B31" s="60"/>
      <c r="C31" s="61"/>
      <c r="D31" s="60"/>
      <c r="E31" s="61"/>
      <c r="F31" s="60"/>
      <c r="G31" s="61"/>
      <c r="H31" s="60"/>
      <c r="I31" s="61"/>
      <c r="J31" s="60"/>
      <c r="K31" s="61"/>
      <c r="L31" s="60"/>
      <c r="M31" s="61"/>
      <c r="N31" s="60"/>
      <c r="O31" s="61"/>
      <c r="P31" s="60"/>
      <c r="Q31" s="61"/>
      <c r="R31" s="60"/>
      <c r="S31" s="61"/>
      <c r="T31" s="60"/>
      <c r="U31" s="61"/>
      <c r="V31" s="60"/>
      <c r="W31" s="61"/>
      <c r="X31" s="60"/>
      <c r="Y31" s="61"/>
      <c r="Z31" s="60"/>
      <c r="AA31" s="61"/>
      <c r="AB31" s="60"/>
      <c r="AC31" s="61"/>
      <c r="AD31" s="60"/>
      <c r="AE31" s="61"/>
      <c r="AF31" s="60"/>
      <c r="AG31" s="61"/>
      <c r="AH31" s="60"/>
      <c r="AI31" s="61"/>
      <c r="AJ31" s="60"/>
      <c r="AK31" s="61"/>
      <c r="AL31" s="60"/>
      <c r="AM31" s="61"/>
      <c r="AN31" s="60"/>
      <c r="AO31" s="61"/>
      <c r="AP31" s="60"/>
      <c r="AQ31" s="61"/>
      <c r="AR31" s="60"/>
      <c r="AS31" s="61"/>
      <c r="AT31" s="60"/>
      <c r="AU31" s="61"/>
      <c r="AV31" s="59" t="e">
        <f aca="false">X31+Z31+AD31+AF31+AH31+AJ31+AL31+AN31+AP31+#REF!+AR31+AT31</f>
        <v>#REF!</v>
      </c>
    </row>
    <row r="32" customFormat="false" ht="15.75" hidden="false" customHeight="true" outlineLevel="1" collapsed="false">
      <c r="A32" s="55" t="n">
        <v>29</v>
      </c>
      <c r="B32" s="60"/>
      <c r="C32" s="61"/>
      <c r="D32" s="60"/>
      <c r="E32" s="61"/>
      <c r="F32" s="60"/>
      <c r="G32" s="61"/>
      <c r="H32" s="60"/>
      <c r="I32" s="61"/>
      <c r="J32" s="60"/>
      <c r="K32" s="61"/>
      <c r="L32" s="60"/>
      <c r="M32" s="61"/>
      <c r="N32" s="60"/>
      <c r="O32" s="61"/>
      <c r="P32" s="60"/>
      <c r="Q32" s="61"/>
      <c r="R32" s="60"/>
      <c r="S32" s="61"/>
      <c r="T32" s="60"/>
      <c r="U32" s="61"/>
      <c r="V32" s="60"/>
      <c r="W32" s="61"/>
      <c r="X32" s="60"/>
      <c r="Y32" s="61"/>
      <c r="Z32" s="60"/>
      <c r="AA32" s="61"/>
      <c r="AB32" s="60"/>
      <c r="AC32" s="61"/>
      <c r="AD32" s="60"/>
      <c r="AE32" s="61"/>
      <c r="AF32" s="60"/>
      <c r="AG32" s="63"/>
      <c r="AH32" s="60"/>
      <c r="AI32" s="61"/>
      <c r="AJ32" s="60"/>
      <c r="AK32" s="61"/>
      <c r="AL32" s="60"/>
      <c r="AM32" s="61"/>
      <c r="AN32" s="60"/>
      <c r="AO32" s="61"/>
      <c r="AP32" s="60"/>
      <c r="AQ32" s="61"/>
      <c r="AR32" s="60"/>
      <c r="AS32" s="61"/>
      <c r="AT32" s="60"/>
      <c r="AU32" s="61"/>
      <c r="AV32" s="59" t="e">
        <f aca="false">X32+Z32+AD32+AF32+AH32+AJ32+AL32+AN32+AP32+#REF!+AR32+AT32</f>
        <v>#REF!</v>
      </c>
    </row>
    <row r="33" customFormat="false" ht="15.75" hidden="false" customHeight="true" outlineLevel="1" collapsed="false">
      <c r="A33" s="55" t="n">
        <v>30</v>
      </c>
      <c r="B33" s="60"/>
      <c r="C33" s="61"/>
      <c r="D33" s="60"/>
      <c r="E33" s="61"/>
      <c r="F33" s="60"/>
      <c r="G33" s="61"/>
      <c r="H33" s="60"/>
      <c r="I33" s="61"/>
      <c r="J33" s="60"/>
      <c r="K33" s="61"/>
      <c r="L33" s="60"/>
      <c r="M33" s="61"/>
      <c r="N33" s="60"/>
      <c r="O33" s="61"/>
      <c r="P33" s="60"/>
      <c r="Q33" s="61"/>
      <c r="R33" s="60"/>
      <c r="S33" s="61"/>
      <c r="T33" s="60"/>
      <c r="U33" s="61"/>
      <c r="V33" s="60"/>
      <c r="W33" s="61"/>
      <c r="X33" s="60"/>
      <c r="Y33" s="61"/>
      <c r="Z33" s="60"/>
      <c r="AA33" s="61"/>
      <c r="AB33" s="60"/>
      <c r="AC33" s="61"/>
      <c r="AD33" s="60"/>
      <c r="AE33" s="61"/>
      <c r="AF33" s="60"/>
      <c r="AG33" s="61"/>
      <c r="AH33" s="60"/>
      <c r="AI33" s="61"/>
      <c r="AJ33" s="60"/>
      <c r="AK33" s="63"/>
      <c r="AL33" s="60"/>
      <c r="AM33" s="61"/>
      <c r="AN33" s="60"/>
      <c r="AO33" s="61"/>
      <c r="AP33" s="60"/>
      <c r="AQ33" s="61"/>
      <c r="AR33" s="60"/>
      <c r="AS33" s="61"/>
      <c r="AT33" s="60"/>
      <c r="AU33" s="61"/>
      <c r="AV33" s="59" t="e">
        <f aca="false">X33+Z33+AD33+AF33+AH33+AJ33+AL33+AN33+AP33+#REF!+AR33+AT33</f>
        <v>#REF!</v>
      </c>
    </row>
    <row r="34" customFormat="false" ht="13" hidden="false" customHeight="false" outlineLevel="1" collapsed="false">
      <c r="A34" s="55"/>
      <c r="B34" s="68"/>
      <c r="C34" s="69"/>
      <c r="D34" s="68"/>
      <c r="E34" s="69"/>
      <c r="F34" s="68"/>
      <c r="G34" s="69"/>
      <c r="H34" s="68"/>
      <c r="I34" s="69"/>
      <c r="J34" s="68"/>
      <c r="K34" s="69"/>
      <c r="L34" s="68"/>
      <c r="M34" s="69"/>
      <c r="N34" s="68"/>
      <c r="O34" s="69"/>
      <c r="P34" s="68"/>
      <c r="Q34" s="69"/>
      <c r="R34" s="68"/>
      <c r="S34" s="69"/>
      <c r="T34" s="68"/>
      <c r="U34" s="69"/>
      <c r="V34" s="68"/>
      <c r="W34" s="69"/>
      <c r="X34" s="68"/>
      <c r="Y34" s="69"/>
      <c r="Z34" s="68"/>
      <c r="AA34" s="69"/>
      <c r="AB34" s="68"/>
      <c r="AC34" s="69"/>
      <c r="AD34" s="68"/>
      <c r="AE34" s="69"/>
      <c r="AF34" s="68"/>
      <c r="AG34" s="69"/>
      <c r="AH34" s="68"/>
      <c r="AI34" s="69"/>
      <c r="AJ34" s="68"/>
      <c r="AK34" s="69"/>
      <c r="AL34" s="68"/>
      <c r="AM34" s="69"/>
      <c r="AN34" s="68"/>
      <c r="AO34" s="69"/>
      <c r="AP34" s="68"/>
      <c r="AQ34" s="69"/>
      <c r="AR34" s="68"/>
      <c r="AS34" s="69"/>
      <c r="AT34" s="68"/>
      <c r="AU34" s="69"/>
      <c r="AV34" s="59" t="e">
        <f aca="false">X34+Z34+AD34+AF34+AH34+AJ34+AL34+AN34+AP34+#REF!+AR34+AT34</f>
        <v>#REF!</v>
      </c>
    </row>
    <row r="35" customFormat="false" ht="13" hidden="false" customHeight="false" outlineLevel="1" collapsed="false">
      <c r="A35" s="55"/>
      <c r="B35" s="68"/>
      <c r="C35" s="69"/>
      <c r="D35" s="68"/>
      <c r="E35" s="69"/>
      <c r="F35" s="68"/>
      <c r="G35" s="69"/>
      <c r="H35" s="68"/>
      <c r="I35" s="69"/>
      <c r="J35" s="68"/>
      <c r="K35" s="69"/>
      <c r="L35" s="68"/>
      <c r="M35" s="69"/>
      <c r="N35" s="68"/>
      <c r="O35" s="69"/>
      <c r="P35" s="68"/>
      <c r="Q35" s="69"/>
      <c r="R35" s="68"/>
      <c r="S35" s="69"/>
      <c r="T35" s="68"/>
      <c r="U35" s="69"/>
      <c r="V35" s="68"/>
      <c r="W35" s="69"/>
      <c r="X35" s="68"/>
      <c r="Y35" s="69"/>
      <c r="Z35" s="68"/>
      <c r="AA35" s="69"/>
      <c r="AB35" s="68"/>
      <c r="AC35" s="69"/>
      <c r="AD35" s="68"/>
      <c r="AE35" s="69"/>
      <c r="AF35" s="68"/>
      <c r="AG35" s="69"/>
      <c r="AH35" s="68"/>
      <c r="AI35" s="69"/>
      <c r="AJ35" s="68"/>
      <c r="AK35" s="69"/>
      <c r="AL35" s="68"/>
      <c r="AM35" s="69"/>
      <c r="AN35" s="68"/>
      <c r="AO35" s="69"/>
      <c r="AP35" s="68"/>
      <c r="AQ35" s="69"/>
      <c r="AR35" s="68"/>
      <c r="AS35" s="69"/>
      <c r="AT35" s="68"/>
      <c r="AU35" s="69"/>
      <c r="AV35" s="59" t="e">
        <f aca="false">X35+Z35+AD35+AF35+AH35+AJ35+AL35+AN35+AP35+#REF!+AR35+AT35</f>
        <v>#REF!</v>
      </c>
    </row>
    <row r="36" customFormat="false" ht="13" hidden="false" customHeight="false" outlineLevel="1" collapsed="false">
      <c r="A36" s="55"/>
      <c r="B36" s="68"/>
      <c r="C36" s="69"/>
      <c r="D36" s="68"/>
      <c r="E36" s="69"/>
      <c r="F36" s="68"/>
      <c r="G36" s="69"/>
      <c r="H36" s="68"/>
      <c r="I36" s="69"/>
      <c r="J36" s="68"/>
      <c r="K36" s="69"/>
      <c r="L36" s="68"/>
      <c r="M36" s="69"/>
      <c r="N36" s="68"/>
      <c r="O36" s="69"/>
      <c r="P36" s="68"/>
      <c r="Q36" s="69"/>
      <c r="R36" s="68"/>
      <c r="S36" s="69"/>
      <c r="T36" s="68"/>
      <c r="U36" s="69"/>
      <c r="V36" s="68"/>
      <c r="W36" s="69"/>
      <c r="X36" s="68"/>
      <c r="Y36" s="69"/>
      <c r="Z36" s="68"/>
      <c r="AA36" s="69"/>
      <c r="AB36" s="68"/>
      <c r="AC36" s="69"/>
      <c r="AD36" s="68"/>
      <c r="AE36" s="69"/>
      <c r="AF36" s="68"/>
      <c r="AG36" s="69"/>
      <c r="AH36" s="68"/>
      <c r="AI36" s="69"/>
      <c r="AJ36" s="68"/>
      <c r="AK36" s="69"/>
      <c r="AL36" s="68"/>
      <c r="AM36" s="69"/>
      <c r="AN36" s="68"/>
      <c r="AO36" s="69"/>
      <c r="AP36" s="68"/>
      <c r="AQ36" s="69"/>
      <c r="AR36" s="68"/>
      <c r="AS36" s="69"/>
      <c r="AT36" s="68"/>
      <c r="AU36" s="69"/>
      <c r="AV36" s="59" t="e">
        <f aca="false">X36+Z36+AD36+AF36+AH36+AJ36+AL36+AN36+AP36+#REF!+AR36+AT36</f>
        <v>#REF!</v>
      </c>
    </row>
    <row r="37" customFormat="false" ht="13" hidden="false" customHeight="false" outlineLevel="1" collapsed="false">
      <c r="A37" s="55" t="n">
        <v>31</v>
      </c>
      <c r="B37" s="70"/>
      <c r="C37" s="71"/>
      <c r="D37" s="70"/>
      <c r="E37" s="71"/>
      <c r="F37" s="70"/>
      <c r="G37" s="71"/>
      <c r="H37" s="70"/>
      <c r="I37" s="71"/>
      <c r="J37" s="70"/>
      <c r="K37" s="71"/>
      <c r="L37" s="70"/>
      <c r="M37" s="71"/>
      <c r="N37" s="70"/>
      <c r="O37" s="71"/>
      <c r="P37" s="70"/>
      <c r="Q37" s="71"/>
      <c r="R37" s="70"/>
      <c r="S37" s="71"/>
      <c r="T37" s="70"/>
      <c r="U37" s="71"/>
      <c r="V37" s="70"/>
      <c r="W37" s="71"/>
      <c r="X37" s="70"/>
      <c r="Y37" s="71"/>
      <c r="Z37" s="70"/>
      <c r="AA37" s="71"/>
      <c r="AB37" s="70"/>
      <c r="AC37" s="71"/>
      <c r="AD37" s="70"/>
      <c r="AE37" s="71"/>
      <c r="AF37" s="70"/>
      <c r="AG37" s="71"/>
      <c r="AH37" s="70"/>
      <c r="AI37" s="71"/>
      <c r="AJ37" s="70"/>
      <c r="AK37" s="71"/>
      <c r="AL37" s="70"/>
      <c r="AM37" s="71"/>
      <c r="AN37" s="70"/>
      <c r="AO37" s="71"/>
      <c r="AP37" s="70"/>
      <c r="AQ37" s="71"/>
      <c r="AR37" s="70"/>
      <c r="AS37" s="71"/>
      <c r="AT37" s="70"/>
      <c r="AU37" s="71"/>
      <c r="AV37" s="59" t="e">
        <f aca="false">X37+Z37+AD37+AF37+AH37+AJ37+AL37+AN37+AP37+#REF!+AR37+AT37</f>
        <v>#REF!</v>
      </c>
    </row>
    <row r="38" customFormat="false" ht="18" hidden="false" customHeight="false" outlineLevel="0" collapsed="false">
      <c r="A38" s="72" t="s">
        <v>66</v>
      </c>
      <c r="B38" s="73"/>
      <c r="C38" s="73"/>
      <c r="D38" s="73"/>
      <c r="E38" s="73"/>
      <c r="F38" s="73"/>
      <c r="G38" s="73"/>
      <c r="H38" s="73" t="n">
        <f aca="false">H17+H16+H15+H14+H13+H12+H11+H10+H9+H8+H7+H6+H5+H4</f>
        <v>149500</v>
      </c>
      <c r="I38" s="73"/>
      <c r="J38" s="73"/>
      <c r="K38" s="73" t="n">
        <f aca="false">SUM(K4:K37)</f>
        <v>0</v>
      </c>
      <c r="L38" s="73" t="n">
        <f aca="false">SUM(L4:L37)</f>
        <v>0</v>
      </c>
      <c r="M38" s="73" t="n">
        <f aca="false">SUM(M4:M37)</f>
        <v>0</v>
      </c>
      <c r="N38" s="73" t="n">
        <f aca="false">SUM(N4:N37)</f>
        <v>33640</v>
      </c>
      <c r="O38" s="73" t="n">
        <f aca="false">SUM(O4:O37)</f>
        <v>0</v>
      </c>
      <c r="P38" s="73" t="n">
        <f aca="false">SUM(P4:P37)</f>
        <v>18000</v>
      </c>
      <c r="Q38" s="73" t="n">
        <f aca="false">SUM(Q4:Q37)</f>
        <v>0</v>
      </c>
      <c r="R38" s="73" t="n">
        <f aca="false">SUM(R4:R37)</f>
        <v>0</v>
      </c>
      <c r="S38" s="73" t="n">
        <f aca="false">SUM(S4:S37)</f>
        <v>0</v>
      </c>
      <c r="T38" s="73" t="n">
        <f aca="false">SUM(T4:T37)</f>
        <v>5050</v>
      </c>
      <c r="U38" s="73" t="n">
        <f aca="false">SUM(U4:U37)</f>
        <v>0</v>
      </c>
      <c r="V38" s="73" t="n">
        <f aca="false">SUM(V4:V37)</f>
        <v>72500</v>
      </c>
      <c r="W38" s="73" t="n">
        <f aca="false">SUM(W4:W37)</f>
        <v>0</v>
      </c>
      <c r="X38" s="73" t="n">
        <f aca="false">SUM(X4:X37)</f>
        <v>122874</v>
      </c>
      <c r="Y38" s="73" t="n">
        <f aca="false">SUM(Y4:Y37)</f>
        <v>0</v>
      </c>
      <c r="Z38" s="73" t="n">
        <f aca="false">SUM(Z4:Z37)</f>
        <v>0</v>
      </c>
      <c r="AA38" s="73" t="n">
        <f aca="false">SUM(AA4:AA37)</f>
        <v>0</v>
      </c>
      <c r="AB38" s="73" t="n">
        <f aca="false">SUM(AB4:AB37)</f>
        <v>28520</v>
      </c>
      <c r="AC38" s="73" t="n">
        <f aca="false">SUM(AC4:AC37)</f>
        <v>0</v>
      </c>
      <c r="AD38" s="73" t="n">
        <f aca="false">SUM(AD4:AD37)</f>
        <v>25897</v>
      </c>
      <c r="AE38" s="73" t="n">
        <f aca="false">SUM(AE4:AE37)</f>
        <v>0</v>
      </c>
      <c r="AF38" s="73" t="n">
        <f aca="false">SUM(AF4:AF37)</f>
        <v>24388</v>
      </c>
      <c r="AG38" s="73" t="n">
        <f aca="false">SUM(AG4:AG37)</f>
        <v>0</v>
      </c>
      <c r="AH38" s="73" t="n">
        <f aca="false">SUM(AH4:AH37)</f>
        <v>50432</v>
      </c>
      <c r="AI38" s="73" t="n">
        <f aca="false">SUM(AI4:AI37)</f>
        <v>0</v>
      </c>
      <c r="AJ38" s="73" t="n">
        <f aca="false">SUM(AJ4:AJ37)</f>
        <v>20000</v>
      </c>
      <c r="AK38" s="73" t="n">
        <f aca="false">SUM(AK4:AK37)</f>
        <v>0</v>
      </c>
      <c r="AL38" s="73" t="n">
        <f aca="false">SUM(AL4:AL37)</f>
        <v>15000</v>
      </c>
      <c r="AM38" s="73" t="n">
        <f aca="false">SUM(AM4:AM37)</f>
        <v>0</v>
      </c>
      <c r="AN38" s="73" t="n">
        <f aca="false">SUM(AN4:AN37)</f>
        <v>60000</v>
      </c>
      <c r="AO38" s="73" t="n">
        <f aca="false">SUM(AO4:AO37)</f>
        <v>0</v>
      </c>
      <c r="AP38" s="73" t="n">
        <f aca="false">SUM(AP4:AP37)</f>
        <v>380000</v>
      </c>
      <c r="AQ38" s="73" t="n">
        <f aca="false">SUM(AQ4:AQ37)</f>
        <v>0</v>
      </c>
      <c r="AR38" s="73" t="n">
        <f aca="false">SUM(AR4:AR37)</f>
        <v>7000</v>
      </c>
      <c r="AS38" s="73" t="n">
        <f aca="false">SUM(AS4:AS37)</f>
        <v>0</v>
      </c>
      <c r="AT38" s="73" t="n">
        <f aca="false">SUM(AT4:AT37)</f>
        <v>3000</v>
      </c>
      <c r="AU38" s="74" t="s">
        <v>67</v>
      </c>
      <c r="AV38" s="75" t="n">
        <f aca="false">SUM(B38:AT38)</f>
        <v>1015801</v>
      </c>
    </row>
    <row r="40" customFormat="false" ht="18" hidden="false" customHeight="false" outlineLevel="0" collapsed="false">
      <c r="A40" s="76" t="s">
        <v>68</v>
      </c>
      <c r="B40" s="77" t="n">
        <f aca="false">B31+B30+B29+B28+B27+B26+B25+B24+B23+B22+B21+B20+B19+B18+B17+B16+B15+B14+B13+B12+B11+B10+B9+B8+B7+B6+B5+B4</f>
        <v>51883</v>
      </c>
      <c r="C40" s="76"/>
      <c r="D40" s="77" t="n">
        <f aca="false">D37+D36+D35+D34+D33+D32+D31+D30+D29+D28+D27+D26+D25+D24+D23+D22+D21+D20+D19+D18+D17+D16+D15+D14+D13+D12+D11+D10+D9+D8+D7+D6+D5+D4</f>
        <v>1306040</v>
      </c>
      <c r="E40" s="76"/>
      <c r="F40" s="77" t="n">
        <f aca="false">F9+F8+F7+F6+F5+F4</f>
        <v>318858</v>
      </c>
      <c r="G40" s="77" t="n">
        <f aca="false">G9+G8+G7+G6+G5+G4</f>
        <v>0</v>
      </c>
      <c r="H40" s="77" t="n">
        <f aca="false">H38</f>
        <v>149500</v>
      </c>
      <c r="I40" s="77"/>
      <c r="J40" s="77" t="n">
        <f aca="false">J9+J8+J7+J6+J5+J4</f>
        <v>5900</v>
      </c>
      <c r="K40" s="76"/>
      <c r="L40" s="77"/>
      <c r="M40" s="76"/>
      <c r="N40" s="77" t="n">
        <f aca="false">N11+N10+N9+N8+N7+N6+N5+N4</f>
        <v>33640</v>
      </c>
      <c r="O40" s="76"/>
      <c r="P40" s="77" t="n">
        <f aca="false">P5+P4</f>
        <v>18000</v>
      </c>
      <c r="Q40" s="76"/>
      <c r="R40" s="77" t="n">
        <f aca="false">R5+R4</f>
        <v>0</v>
      </c>
      <c r="S40" s="76"/>
      <c r="T40" s="77" t="n">
        <f aca="false">T20+T19+T18+T17+T16+T15+T14+T13+T12+T11+T10+T9+T8+T7+T6+T5+T4</f>
        <v>5050</v>
      </c>
      <c r="U40" s="76"/>
      <c r="V40" s="77" t="n">
        <f aca="false">V38</f>
        <v>72500</v>
      </c>
      <c r="W40" s="76"/>
      <c r="X40" s="77" t="n">
        <f aca="false">X38</f>
        <v>122874</v>
      </c>
      <c r="Y40" s="76"/>
      <c r="Z40" s="77"/>
      <c r="AA40" s="76"/>
      <c r="AB40" s="77" t="n">
        <f aca="false">AB38</f>
        <v>28520</v>
      </c>
      <c r="AC40" s="76"/>
      <c r="AD40" s="77" t="n">
        <f aca="false">AD38</f>
        <v>25897</v>
      </c>
      <c r="AE40" s="76"/>
      <c r="AF40" s="77" t="n">
        <f aca="false">AF38</f>
        <v>24388</v>
      </c>
      <c r="AG40" s="76"/>
      <c r="AH40" s="77" t="n">
        <f aca="false">AH6+AH5+AH4</f>
        <v>50432</v>
      </c>
      <c r="AI40" s="76"/>
      <c r="AJ40" s="77" t="n">
        <f aca="false">AJ5+AJ4</f>
        <v>20000</v>
      </c>
      <c r="AK40" s="76"/>
      <c r="AL40" s="77"/>
      <c r="AM40" s="76"/>
      <c r="AN40" s="77" t="n">
        <f aca="false">AN38</f>
        <v>60000</v>
      </c>
      <c r="AO40" s="76"/>
      <c r="AP40" s="77" t="n">
        <f aca="false">AP38</f>
        <v>380000</v>
      </c>
      <c r="AQ40" s="76"/>
      <c r="AR40" s="77" t="n">
        <f aca="false">AR6+AR5+AR4</f>
        <v>7000</v>
      </c>
      <c r="AS40" s="76"/>
      <c r="AT40" s="77" t="n">
        <f aca="false">AT38</f>
        <v>3000</v>
      </c>
      <c r="AU40" s="76"/>
      <c r="AV40" s="77" t="e">
        <f aca="false">AV38+#REF!+#REF!</f>
        <v>#REF!</v>
      </c>
    </row>
  </sheetData>
  <mergeCells count="48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2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V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8"/>
  <sheetViews>
    <sheetView showFormulas="false" showGridLines="true" showRowColHeaders="true" showZeros="true" rightToLeft="false" tabSelected="true" showOutlineSymbols="true" defaultGridColor="true" view="normal" topLeftCell="A7" colorId="64" zoomScale="90" zoomScaleNormal="90" zoomScalePageLayoutView="100" workbookViewId="0">
      <selection pane="topLeft" activeCell="C44" activeCellId="0" sqref="C44"/>
    </sheetView>
  </sheetViews>
  <sheetFormatPr defaultColWidth="14.515625" defaultRowHeight="15.75" zeroHeight="false" outlineLevelRow="0" outlineLevelCol="0"/>
  <cols>
    <col collapsed="false" customWidth="true" hidden="false" outlineLevel="0" max="1" min="1" style="0" width="47.66"/>
    <col collapsed="false" customWidth="true" hidden="false" outlineLevel="0" max="2" min="2" style="0" width="19.84"/>
    <col collapsed="false" customWidth="true" hidden="false" outlineLevel="0" max="3" min="3" style="0" width="19.33"/>
    <col collapsed="false" customWidth="true" hidden="false" outlineLevel="0" max="4" min="4" style="0" width="7"/>
    <col collapsed="false" customWidth="true" hidden="false" outlineLevel="0" max="5" min="5" style="0" width="3.66"/>
    <col collapsed="false" customWidth="true" hidden="false" outlineLevel="0" max="6" min="6" style="0" width="32.83"/>
    <col collapsed="false" customWidth="true" hidden="false" outlineLevel="0" max="7" min="7" style="0" width="16.49"/>
    <col collapsed="false" customWidth="true" hidden="false" outlineLevel="0" max="8" min="8" style="0" width="20.66"/>
  </cols>
  <sheetData>
    <row r="1" customFormat="false" ht="13" hidden="false" customHeight="false" outlineLevel="0" collapsed="false">
      <c r="K1" s="0" t="s">
        <v>69</v>
      </c>
    </row>
    <row r="2" customFormat="false" ht="23" hidden="false" customHeight="false" outlineLevel="0" collapsed="false">
      <c r="A2" s="78" t="s">
        <v>70</v>
      </c>
      <c r="B2" s="78"/>
      <c r="C2" s="78"/>
      <c r="D2" s="79"/>
      <c r="E2" s="80"/>
      <c r="F2" s="81" t="s">
        <v>71</v>
      </c>
      <c r="G2" s="81"/>
      <c r="H2" s="82"/>
      <c r="K2" s="0" t="n">
        <v>1652106</v>
      </c>
    </row>
    <row r="3" customFormat="false" ht="16" hidden="false" customHeight="false" outlineLevel="0" collapsed="false">
      <c r="A3" s="83" t="s">
        <v>72</v>
      </c>
      <c r="B3" s="84" t="n">
        <v>1413947</v>
      </c>
      <c r="C3" s="85" t="n">
        <v>0.27</v>
      </c>
      <c r="D3" s="86"/>
      <c r="F3" s="87" t="s">
        <v>73</v>
      </c>
      <c r="G3" s="87"/>
    </row>
    <row r="4" customFormat="false" ht="16" hidden="false" customHeight="false" outlineLevel="0" collapsed="false">
      <c r="A4" s="83" t="s">
        <v>74</v>
      </c>
      <c r="B4" s="84" t="n">
        <v>845749</v>
      </c>
      <c r="C4" s="85" t="n">
        <v>0.12</v>
      </c>
      <c r="D4" s="86"/>
      <c r="F4" s="88"/>
      <c r="G4" s="89"/>
    </row>
    <row r="5" customFormat="false" ht="16" hidden="false" customHeight="false" outlineLevel="0" collapsed="false">
      <c r="A5" s="83" t="s">
        <v>75</v>
      </c>
      <c r="B5" s="90" t="n">
        <v>1519806</v>
      </c>
      <c r="C5" s="85" t="n">
        <v>0.24</v>
      </c>
      <c r="D5" s="86"/>
      <c r="F5" s="34" t="s">
        <v>76</v>
      </c>
      <c r="G5" s="91" t="n">
        <v>778784</v>
      </c>
      <c r="H5" s="0" t="s">
        <v>77</v>
      </c>
      <c r="I5" s="92" t="n">
        <v>3955</v>
      </c>
    </row>
    <row r="6" customFormat="false" ht="16" hidden="false" customHeight="false" outlineLevel="0" collapsed="false">
      <c r="A6" s="83" t="s">
        <v>78</v>
      </c>
      <c r="B6" s="84" t="n">
        <v>2193270</v>
      </c>
      <c r="C6" s="85" t="n">
        <v>0.35</v>
      </c>
      <c r="D6" s="86"/>
      <c r="F6" s="34" t="s">
        <v>79</v>
      </c>
      <c r="G6" s="93" t="n">
        <v>291866</v>
      </c>
      <c r="H6" s="0" t="s">
        <v>80</v>
      </c>
      <c r="I6" s="92" t="n">
        <v>1509</v>
      </c>
    </row>
    <row r="7" customFormat="false" ht="16" hidden="false" customHeight="false" outlineLevel="0" collapsed="false">
      <c r="A7" s="94" t="s">
        <v>81</v>
      </c>
      <c r="B7" s="95" t="n">
        <f aca="false">B6+B5+B4+B3</f>
        <v>5972772</v>
      </c>
      <c r="C7" s="85"/>
      <c r="D7" s="86"/>
      <c r="F7" s="34" t="s">
        <v>82</v>
      </c>
      <c r="G7" s="91" t="n">
        <v>262040</v>
      </c>
      <c r="H7" s="0" t="s">
        <v>83</v>
      </c>
      <c r="I7" s="92" t="n">
        <v>444021</v>
      </c>
    </row>
    <row r="8" customFormat="false" ht="16" hidden="false" customHeight="false" outlineLevel="0" collapsed="false">
      <c r="A8" s="83" t="s">
        <v>84</v>
      </c>
      <c r="B8" s="96" t="n">
        <v>358225</v>
      </c>
      <c r="C8" s="85" t="n">
        <v>0.25</v>
      </c>
      <c r="D8" s="86"/>
      <c r="F8" s="34"/>
      <c r="G8" s="97"/>
    </row>
    <row r="9" customFormat="false" ht="16" hidden="false" customHeight="false" outlineLevel="0" collapsed="false">
      <c r="A9" s="83" t="s">
        <v>85</v>
      </c>
      <c r="B9" s="98" t="n">
        <v>125211</v>
      </c>
      <c r="C9" s="85" t="n">
        <v>0.17</v>
      </c>
      <c r="D9" s="86"/>
      <c r="F9" s="34"/>
      <c r="G9" s="97"/>
    </row>
    <row r="10" customFormat="false" ht="16" hidden="false" customHeight="false" outlineLevel="0" collapsed="false">
      <c r="A10" s="83" t="s">
        <v>86</v>
      </c>
      <c r="B10" s="98" t="n">
        <v>398147</v>
      </c>
      <c r="C10" s="85" t="n">
        <v>0.26</v>
      </c>
      <c r="D10" s="86"/>
      <c r="F10" s="34"/>
      <c r="G10" s="99"/>
    </row>
    <row r="11" customFormat="false" ht="16" hidden="false" customHeight="false" outlineLevel="0" collapsed="false">
      <c r="A11" s="83" t="s">
        <v>87</v>
      </c>
      <c r="B11" s="98" t="n">
        <v>316725</v>
      </c>
      <c r="C11" s="85" t="n">
        <v>0.14</v>
      </c>
      <c r="D11" s="86"/>
      <c r="F11" s="34"/>
      <c r="G11" s="99"/>
    </row>
    <row r="12" customFormat="false" ht="16" hidden="false" customHeight="false" outlineLevel="0" collapsed="false">
      <c r="A12" s="83" t="s">
        <v>88</v>
      </c>
      <c r="B12" s="98" t="n">
        <v>74300</v>
      </c>
      <c r="C12" s="85" t="n">
        <v>0.14</v>
      </c>
      <c r="D12" s="86"/>
      <c r="F12" s="34"/>
      <c r="G12" s="99"/>
    </row>
    <row r="13" customFormat="false" ht="16" hidden="false" customHeight="false" outlineLevel="0" collapsed="false">
      <c r="A13" s="83" t="s">
        <v>89</v>
      </c>
      <c r="B13" s="98" t="n">
        <v>2660</v>
      </c>
      <c r="C13" s="85" t="n">
        <v>0.14</v>
      </c>
      <c r="D13" s="100"/>
      <c r="F13" s="34"/>
      <c r="G13" s="99"/>
    </row>
    <row r="14" customFormat="false" ht="16" hidden="false" customHeight="false" outlineLevel="0" collapsed="false">
      <c r="A14" s="83" t="s">
        <v>90</v>
      </c>
      <c r="B14" s="98" t="n">
        <v>46000</v>
      </c>
      <c r="C14" s="101" t="n">
        <f aca="false">B14/B6</f>
        <v>0.0209732499874616</v>
      </c>
      <c r="D14" s="100"/>
      <c r="F14" s="34"/>
      <c r="G14" s="102"/>
      <c r="H14" s="103" t="s">
        <v>91</v>
      </c>
      <c r="I14" s="104"/>
    </row>
    <row r="15" customFormat="false" ht="16" hidden="false" customHeight="false" outlineLevel="0" collapsed="false">
      <c r="A15" s="83" t="s">
        <v>92</v>
      </c>
      <c r="B15" s="98" t="n">
        <v>24300</v>
      </c>
      <c r="C15" s="101" t="n">
        <f aca="false">B15/B7</f>
        <v>0.00406846268365844</v>
      </c>
      <c r="D15" s="100"/>
      <c r="F15" s="34"/>
      <c r="G15" s="102"/>
      <c r="H15" s="105" t="s">
        <v>93</v>
      </c>
      <c r="I15" s="106" t="n">
        <v>12131</v>
      </c>
    </row>
    <row r="16" customFormat="false" ht="16" hidden="false" customHeight="false" outlineLevel="0" collapsed="false">
      <c r="A16" s="83" t="s">
        <v>94</v>
      </c>
      <c r="B16" s="98" t="n">
        <v>14514</v>
      </c>
      <c r="C16" s="101" t="n">
        <f aca="false">B16/B10</f>
        <v>0.0364538725646558</v>
      </c>
      <c r="D16" s="100"/>
      <c r="F16" s="34"/>
      <c r="G16" s="102"/>
      <c r="H16" s="104" t="s">
        <v>95</v>
      </c>
      <c r="I16" s="107" t="n">
        <v>23062</v>
      </c>
    </row>
    <row r="17" customFormat="false" ht="16" hidden="false" customHeight="false" outlineLevel="0" collapsed="false">
      <c r="A17" s="94" t="s">
        <v>96</v>
      </c>
      <c r="B17" s="108" t="n">
        <f aca="false">B18+B20+B21+B22+B23+B24+B26+B27+B28+B29+B30+B31+B32+B33+B34+B35+B36+B37+B38+B2+9+B40+B42+B43+B19+B41+B25+B39</f>
        <v>2695491</v>
      </c>
      <c r="C17" s="85" t="n">
        <f aca="false">B17/B7</f>
        <v>0.451296483441859</v>
      </c>
      <c r="D17" s="86"/>
      <c r="F17" s="34"/>
      <c r="G17" s="102"/>
      <c r="H17" s="104" t="s">
        <v>97</v>
      </c>
      <c r="I17" s="107" t="n">
        <v>32387</v>
      </c>
    </row>
    <row r="18" customFormat="false" ht="16" hidden="false" customHeight="false" outlineLevel="0" collapsed="false">
      <c r="A18" s="83" t="s">
        <v>8</v>
      </c>
      <c r="B18" s="98" t="n">
        <f aca="false">Расход!B40</f>
        <v>51883</v>
      </c>
      <c r="C18" s="85" t="n">
        <f aca="false">B18/B7</f>
        <v>0.00868658639573049</v>
      </c>
      <c r="D18" s="86"/>
      <c r="F18" s="26"/>
      <c r="G18" s="109"/>
      <c r="H18" s="103" t="s">
        <v>98</v>
      </c>
      <c r="I18" s="110" t="n">
        <v>8919</v>
      </c>
    </row>
    <row r="19" customFormat="false" ht="16" hidden="false" customHeight="false" outlineLevel="0" collapsed="false">
      <c r="A19" s="83" t="s">
        <v>17</v>
      </c>
      <c r="B19" s="98" t="n">
        <f aca="false">Расход!T40</f>
        <v>5050</v>
      </c>
      <c r="C19" s="85" t="n">
        <f aca="false">B19/B8</f>
        <v>0.0140972852257659</v>
      </c>
      <c r="D19" s="86"/>
      <c r="F19" s="26"/>
      <c r="G19" s="109"/>
      <c r="H19" s="111"/>
      <c r="I19" s="112"/>
    </row>
    <row r="20" customFormat="false" ht="16" hidden="false" customHeight="false" outlineLevel="0" collapsed="false">
      <c r="A20" s="83" t="s">
        <v>9</v>
      </c>
      <c r="B20" s="98" t="n">
        <f aca="false">Расход!D40</f>
        <v>1306040</v>
      </c>
      <c r="C20" s="85" t="n">
        <f aca="false">B20/B7</f>
        <v>0.218665637998571</v>
      </c>
      <c r="D20" s="86"/>
      <c r="F20" s="26"/>
      <c r="G20" s="99"/>
      <c r="H20" s="0" t="s">
        <v>99</v>
      </c>
      <c r="I20" s="92"/>
    </row>
    <row r="21" customFormat="false" ht="16" hidden="false" customHeight="false" outlineLevel="0" collapsed="false">
      <c r="A21" s="83" t="s">
        <v>10</v>
      </c>
      <c r="B21" s="98" t="n">
        <f aca="false">Расход!F40</f>
        <v>318858</v>
      </c>
      <c r="C21" s="85" t="n">
        <f aca="false">B21/B10</f>
        <v>0.800854960605003</v>
      </c>
      <c r="D21" s="86"/>
      <c r="F21" s="113"/>
      <c r="G21" s="99"/>
      <c r="H21" s="114" t="s">
        <v>100</v>
      </c>
      <c r="I21" s="115" t="n">
        <v>20004</v>
      </c>
    </row>
    <row r="22" customFormat="false" ht="16" hidden="false" customHeight="false" outlineLevel="0" collapsed="false">
      <c r="A22" s="83" t="s">
        <v>101</v>
      </c>
      <c r="B22" s="98" t="n">
        <f aca="false">Расход!V40</f>
        <v>72500</v>
      </c>
      <c r="C22" s="85" t="n">
        <f aca="false">B22/B7</f>
        <v>0.0121384174718205</v>
      </c>
      <c r="D22" s="86"/>
      <c r="F22" s="34"/>
      <c r="G22" s="99"/>
      <c r="I22" s="115"/>
    </row>
    <row r="23" customFormat="false" ht="16" hidden="false" customHeight="false" outlineLevel="0" collapsed="false">
      <c r="A23" s="83" t="s">
        <v>102</v>
      </c>
      <c r="B23" s="98" t="n">
        <f aca="false">Расход!AR40</f>
        <v>7000</v>
      </c>
      <c r="C23" s="85" t="n">
        <f aca="false">B23/B7</f>
        <v>0.00117198513521025</v>
      </c>
      <c r="D23" s="86"/>
      <c r="F23" s="34"/>
      <c r="G23" s="99"/>
    </row>
    <row r="24" customFormat="false" ht="16" hidden="false" customHeight="false" outlineLevel="0" collapsed="false">
      <c r="A24" s="83" t="s">
        <v>14</v>
      </c>
      <c r="B24" s="98" t="n">
        <f aca="false">Расход!N40</f>
        <v>33640</v>
      </c>
      <c r="C24" s="85" t="n">
        <f aca="false">B24/B7</f>
        <v>0.00563222570692469</v>
      </c>
      <c r="D24" s="86"/>
      <c r="F24" s="34"/>
      <c r="G24" s="99"/>
    </row>
    <row r="25" customFormat="false" ht="16" hidden="false" customHeight="false" outlineLevel="0" collapsed="false">
      <c r="A25" s="116" t="s">
        <v>21</v>
      </c>
      <c r="B25" s="98" t="n">
        <f aca="false">Расход!AB40</f>
        <v>28520</v>
      </c>
      <c r="C25" s="85" t="n">
        <f aca="false">B25/B8</f>
        <v>0.0796147672552167</v>
      </c>
      <c r="D25" s="86"/>
      <c r="F25" s="34"/>
      <c r="G25" s="99"/>
    </row>
    <row r="26" customFormat="false" ht="13" hidden="false" customHeight="false" outlineLevel="0" collapsed="false">
      <c r="A26" s="0" t="s">
        <v>103</v>
      </c>
      <c r="B26" s="98" t="n">
        <f aca="false">Расход!J40</f>
        <v>5900</v>
      </c>
      <c r="C26" s="85" t="n">
        <f aca="false">B26/B7</f>
        <v>0.000987816042534354</v>
      </c>
      <c r="D26" s="86"/>
      <c r="F26" s="34"/>
      <c r="G26" s="99"/>
    </row>
    <row r="27" customFormat="false" ht="16" hidden="false" customHeight="false" outlineLevel="0" collapsed="false">
      <c r="A27" s="83" t="s">
        <v>16</v>
      </c>
      <c r="B27" s="117" t="n">
        <f aca="false">Расход!R40</f>
        <v>0</v>
      </c>
      <c r="C27" s="85" t="s">
        <v>104</v>
      </c>
      <c r="D27" s="86"/>
      <c r="F27" s="34"/>
      <c r="G27" s="118"/>
    </row>
    <row r="28" customFormat="false" ht="16" hidden="false" customHeight="false" outlineLevel="0" collapsed="false">
      <c r="A28" s="83" t="s">
        <v>105</v>
      </c>
      <c r="B28" s="98" t="n">
        <f aca="false">Расход!AN40</f>
        <v>60000</v>
      </c>
      <c r="C28" s="85" t="n">
        <f aca="false">B28/B7</f>
        <v>0.0100455868732307</v>
      </c>
      <c r="D28" s="86"/>
      <c r="F28" s="34"/>
      <c r="G28" s="118"/>
    </row>
    <row r="29" customFormat="false" ht="16" hidden="false" customHeight="false" outlineLevel="0" collapsed="false">
      <c r="A29" s="83" t="s">
        <v>15</v>
      </c>
      <c r="B29" s="98" t="n">
        <f aca="false">Расход!P40</f>
        <v>18000</v>
      </c>
      <c r="C29" s="85" t="n">
        <f aca="false">B29/B7</f>
        <v>0.00301367606196922</v>
      </c>
      <c r="D29" s="86"/>
      <c r="F29" s="119" t="s">
        <v>106</v>
      </c>
      <c r="G29" s="120" t="n">
        <f aca="false">SUM(G5:G28)</f>
        <v>1332690</v>
      </c>
    </row>
    <row r="30" customFormat="false" ht="16" hidden="false" customHeight="false" outlineLevel="0" collapsed="false">
      <c r="A30" s="83" t="s">
        <v>22</v>
      </c>
      <c r="B30" s="98" t="n">
        <f aca="false">Расход!AD40</f>
        <v>25897</v>
      </c>
      <c r="C30" s="85" t="n">
        <f aca="false">B30/B7</f>
        <v>0.00433584272093427</v>
      </c>
      <c r="D30" s="86"/>
      <c r="F30" s="87" t="s">
        <v>107</v>
      </c>
      <c r="G30" s="87"/>
    </row>
    <row r="31" customFormat="false" ht="16" hidden="false" customHeight="false" outlineLevel="0" collapsed="false">
      <c r="A31" s="83" t="s">
        <v>23</v>
      </c>
      <c r="B31" s="98" t="n">
        <f aca="false">Расход!AF40</f>
        <v>24388</v>
      </c>
      <c r="C31" s="85" t="n">
        <f aca="false">B31/B8</f>
        <v>0.0680801172447484</v>
      </c>
      <c r="D31" s="86"/>
      <c r="F31" s="34" t="s">
        <v>108</v>
      </c>
      <c r="G31" s="99" t="n">
        <v>621340</v>
      </c>
      <c r="H31" s="26"/>
    </row>
    <row r="32" customFormat="false" ht="16" hidden="false" customHeight="false" outlineLevel="0" collapsed="false">
      <c r="A32" s="83" t="s">
        <v>109</v>
      </c>
      <c r="B32" s="98" t="n">
        <f aca="false">Расход!AH40</f>
        <v>50432</v>
      </c>
      <c r="C32" s="85" t="n">
        <f aca="false">B32/B7</f>
        <v>0.0084436506198462</v>
      </c>
      <c r="D32" s="86"/>
      <c r="F32" s="34" t="s">
        <v>9</v>
      </c>
      <c r="G32" s="99" t="n">
        <v>907000</v>
      </c>
      <c r="H32" s="26"/>
    </row>
    <row r="33" customFormat="false" ht="16" hidden="false" customHeight="false" outlineLevel="0" collapsed="false">
      <c r="A33" s="83" t="s">
        <v>25</v>
      </c>
      <c r="B33" s="98" t="n">
        <f aca="false">Расход!AJ4</f>
        <v>20000</v>
      </c>
      <c r="C33" s="85" t="n">
        <f aca="false">B33/B7</f>
        <v>0.00334852895774357</v>
      </c>
      <c r="D33" s="86"/>
      <c r="F33" s="34"/>
      <c r="G33" s="102"/>
      <c r="H33" s="121"/>
      <c r="I33" s="122"/>
    </row>
    <row r="34" customFormat="false" ht="16" hidden="false" customHeight="false" outlineLevel="0" collapsed="false">
      <c r="A34" s="83" t="s">
        <v>110</v>
      </c>
      <c r="B34" s="98" t="n">
        <f aca="false">Расход!AL38</f>
        <v>15000</v>
      </c>
      <c r="C34" s="85" t="n">
        <f aca="false">B34/B7</f>
        <v>0.00251139671830768</v>
      </c>
      <c r="D34" s="86"/>
      <c r="F34" s="34"/>
      <c r="G34" s="102"/>
      <c r="H34" s="123"/>
      <c r="I34" s="124"/>
    </row>
    <row r="35" customFormat="false" ht="16" hidden="false" customHeight="false" outlineLevel="0" collapsed="false">
      <c r="A35" s="83" t="s">
        <v>11</v>
      </c>
      <c r="B35" s="98" t="n">
        <f aca="false">Расход!H40</f>
        <v>149500</v>
      </c>
      <c r="C35" s="85" t="n">
        <f aca="false">B35/B7</f>
        <v>0.0250302539591332</v>
      </c>
      <c r="D35" s="86"/>
      <c r="F35" s="34"/>
      <c r="G35" s="102"/>
      <c r="H35" s="123"/>
      <c r="I35" s="124"/>
    </row>
    <row r="36" customFormat="false" ht="16" hidden="false" customHeight="false" outlineLevel="0" collapsed="false">
      <c r="A36" s="83" t="s">
        <v>111</v>
      </c>
      <c r="B36" s="98"/>
      <c r="C36" s="85" t="n">
        <f aca="false">B36/B7</f>
        <v>0</v>
      </c>
      <c r="D36" s="86"/>
      <c r="F36" s="34"/>
      <c r="G36" s="125"/>
      <c r="H36" s="123"/>
      <c r="I36" s="124"/>
    </row>
    <row r="37" customFormat="false" ht="16" hidden="false" customHeight="false" outlineLevel="0" collapsed="false">
      <c r="A37" s="83" t="s">
        <v>19</v>
      </c>
      <c r="B37" s="98" t="n">
        <f aca="false">Расход!X40</f>
        <v>122874</v>
      </c>
      <c r="C37" s="101" t="n">
        <f aca="false">B37/B7</f>
        <v>0.0205723573576892</v>
      </c>
      <c r="D37" s="86"/>
      <c r="F37" s="34"/>
      <c r="G37" s="125"/>
      <c r="H37" s="123"/>
      <c r="I37" s="126"/>
    </row>
    <row r="38" customFormat="false" ht="16" hidden="false" customHeight="false" outlineLevel="0" collapsed="false">
      <c r="A38" s="83" t="s">
        <v>112</v>
      </c>
      <c r="B38" s="98" t="n">
        <f aca="false">Расход!AP40</f>
        <v>380000</v>
      </c>
      <c r="C38" s="101" t="n">
        <f aca="false">B38/B10</f>
        <v>0.954421356936006</v>
      </c>
      <c r="D38" s="86"/>
      <c r="F38" s="34"/>
      <c r="G38" s="102"/>
      <c r="H38" s="127"/>
      <c r="I38" s="126"/>
    </row>
    <row r="39" customFormat="false" ht="16" hidden="false" customHeight="false" outlineLevel="0" collapsed="false">
      <c r="A39" s="83" t="s">
        <v>113</v>
      </c>
      <c r="B39" s="98"/>
      <c r="C39" s="101"/>
      <c r="D39" s="100"/>
      <c r="F39" s="34"/>
      <c r="G39" s="125"/>
      <c r="H39" s="127"/>
      <c r="I39" s="126"/>
    </row>
    <row r="40" customFormat="false" ht="16" hidden="false" customHeight="false" outlineLevel="0" collapsed="false">
      <c r="A40" s="83" t="s">
        <v>114</v>
      </c>
      <c r="B40" s="98"/>
      <c r="C40" s="101" t="n">
        <f aca="false">B40/B12</f>
        <v>0</v>
      </c>
      <c r="D40" s="86"/>
      <c r="F40" s="119" t="s">
        <v>115</v>
      </c>
      <c r="G40" s="128" t="n">
        <f aca="false">SUM(G31:G39)</f>
        <v>1528340</v>
      </c>
      <c r="H40" s="129"/>
      <c r="I40" s="130"/>
    </row>
    <row r="41" customFormat="false" ht="16" hidden="false" customHeight="false" outlineLevel="0" collapsed="false">
      <c r="A41" s="131" t="s">
        <v>116</v>
      </c>
      <c r="B41" s="98"/>
      <c r="C41" s="101" t="n">
        <f aca="false">B41/B13</f>
        <v>0</v>
      </c>
      <c r="D41" s="86"/>
      <c r="F41" s="132"/>
      <c r="G41" s="133"/>
      <c r="H41" s="134"/>
      <c r="I41" s="135"/>
    </row>
    <row r="42" customFormat="false" ht="16" hidden="false" customHeight="false" outlineLevel="0" collapsed="false">
      <c r="A42" s="131" t="s">
        <v>13</v>
      </c>
      <c r="B42" s="98"/>
      <c r="C42" s="101" t="n">
        <f aca="false">B42/B13</f>
        <v>0</v>
      </c>
      <c r="D42" s="86"/>
      <c r="F42" s="136"/>
      <c r="G42" s="137" t="s">
        <v>117</v>
      </c>
    </row>
    <row r="43" customFormat="false" ht="16" hidden="false" customHeight="false" outlineLevel="0" collapsed="false">
      <c r="A43" s="83" t="s">
        <v>118</v>
      </c>
      <c r="B43" s="98"/>
      <c r="C43" s="101" t="n">
        <f aca="false">B43/B14</f>
        <v>0</v>
      </c>
      <c r="D43" s="86"/>
      <c r="F43" s="138"/>
      <c r="G43" s="139" t="n">
        <f aca="false">G40-G29</f>
        <v>195650</v>
      </c>
    </row>
    <row r="44" customFormat="false" ht="16" hidden="false" customHeight="false" outlineLevel="0" collapsed="false">
      <c r="A44" s="94" t="s">
        <v>119</v>
      </c>
      <c r="B44" s="95" t="n">
        <f aca="false">B7</f>
        <v>5972772</v>
      </c>
      <c r="C44" s="86"/>
      <c r="D44" s="86"/>
      <c r="F44" s="90"/>
    </row>
    <row r="45" customFormat="false" ht="18" hidden="false" customHeight="false" outlineLevel="0" collapsed="false">
      <c r="A45" s="94" t="s">
        <v>120</v>
      </c>
      <c r="B45" s="140" t="n">
        <f aca="false">B17</f>
        <v>2695491</v>
      </c>
      <c r="C45" s="86"/>
      <c r="D45" s="86"/>
      <c r="I45" s="141"/>
    </row>
    <row r="46" customFormat="false" ht="18" hidden="false" customHeight="false" outlineLevel="0" collapsed="false">
      <c r="A46" s="142" t="s">
        <v>121</v>
      </c>
      <c r="B46" s="143" t="n">
        <f aca="false">B44-B45</f>
        <v>3277281</v>
      </c>
      <c r="C46" s="144" t="n">
        <v>0.22</v>
      </c>
      <c r="D46" s="144"/>
      <c r="H46" s="141"/>
    </row>
    <row r="47" customFormat="false" ht="13" hidden="false" customHeight="false" outlineLevel="0" collapsed="false">
      <c r="B47" s="145"/>
      <c r="C47" s="86"/>
      <c r="D47" s="86"/>
    </row>
    <row r="48" customFormat="false" ht="13" hidden="false" customHeight="false" outlineLevel="0" collapsed="false">
      <c r="B48" s="145"/>
      <c r="C48" s="86"/>
      <c r="D48" s="86"/>
    </row>
    <row r="49" customFormat="false" ht="13" hidden="false" customHeight="false" outlineLevel="0" collapsed="false">
      <c r="B49" s="145"/>
      <c r="C49" s="86"/>
      <c r="D49" s="86"/>
      <c r="F49" s="90"/>
    </row>
    <row r="50" customFormat="false" ht="13" hidden="false" customHeight="false" outlineLevel="0" collapsed="false">
      <c r="B50" s="145"/>
      <c r="C50" s="86"/>
      <c r="D50" s="86"/>
      <c r="F50" s="90"/>
    </row>
    <row r="51" customFormat="false" ht="13" hidden="false" customHeight="false" outlineLevel="0" collapsed="false">
      <c r="B51" s="145"/>
      <c r="C51" s="86"/>
      <c r="D51" s="86"/>
      <c r="F51" s="90"/>
    </row>
    <row r="52" customFormat="false" ht="13" hidden="false" customHeight="false" outlineLevel="0" collapsed="false">
      <c r="B52" s="145"/>
      <c r="C52" s="86"/>
      <c r="D52" s="86"/>
      <c r="F52" s="90"/>
    </row>
    <row r="53" customFormat="false" ht="13" hidden="false" customHeight="false" outlineLevel="0" collapsed="false">
      <c r="B53" s="145"/>
      <c r="C53" s="86"/>
      <c r="D53" s="86"/>
    </row>
    <row r="54" customFormat="false" ht="13" hidden="false" customHeight="false" outlineLevel="0" collapsed="false">
      <c r="B54" s="145"/>
      <c r="C54" s="86"/>
      <c r="D54" s="86"/>
    </row>
    <row r="55" customFormat="false" ht="13" hidden="false" customHeight="false" outlineLevel="0" collapsed="false">
      <c r="B55" s="145"/>
      <c r="C55" s="86"/>
      <c r="D55" s="86"/>
    </row>
    <row r="56" customFormat="false" ht="13" hidden="false" customHeight="false" outlineLevel="0" collapsed="false">
      <c r="B56" s="145"/>
      <c r="C56" s="86"/>
      <c r="D56" s="86"/>
    </row>
    <row r="57" customFormat="false" ht="13" hidden="false" customHeight="false" outlineLevel="0" collapsed="false">
      <c r="B57" s="145"/>
      <c r="C57" s="86"/>
      <c r="D57" s="86"/>
      <c r="F57" s="114" t="s">
        <v>122</v>
      </c>
      <c r="G57" s="0" t="n">
        <v>8840</v>
      </c>
    </row>
    <row r="58" customFormat="false" ht="13" hidden="false" customHeight="false" outlineLevel="0" collapsed="false">
      <c r="B58" s="145"/>
      <c r="C58" s="86"/>
      <c r="D58" s="86"/>
      <c r="G58" s="0" t="n">
        <v>8840</v>
      </c>
    </row>
    <row r="59" customFormat="false" ht="13" hidden="false" customHeight="false" outlineLevel="0" collapsed="false">
      <c r="B59" s="145"/>
      <c r="C59" s="86"/>
      <c r="D59" s="86"/>
    </row>
    <row r="60" customFormat="false" ht="13" hidden="false" customHeight="false" outlineLevel="0" collapsed="false">
      <c r="B60" s="145"/>
      <c r="C60" s="86"/>
      <c r="D60" s="86"/>
    </row>
    <row r="61" customFormat="false" ht="13" hidden="false" customHeight="false" outlineLevel="0" collapsed="false">
      <c r="B61" s="145"/>
      <c r="C61" s="86"/>
      <c r="D61" s="86"/>
    </row>
    <row r="62" customFormat="false" ht="13" hidden="false" customHeight="false" outlineLevel="0" collapsed="false">
      <c r="A62" s="0" t="s">
        <v>123</v>
      </c>
      <c r="B62" s="145"/>
      <c r="C62" s="86"/>
      <c r="D62" s="86"/>
    </row>
    <row r="63" customFormat="false" ht="13" hidden="false" customHeight="false" outlineLevel="0" collapsed="false">
      <c r="B63" s="145"/>
      <c r="C63" s="86"/>
      <c r="D63" s="86"/>
    </row>
    <row r="64" customFormat="false" ht="13" hidden="false" customHeight="false" outlineLevel="0" collapsed="false">
      <c r="B64" s="145"/>
      <c r="C64" s="86"/>
      <c r="D64" s="86"/>
    </row>
    <row r="65" customFormat="false" ht="13" hidden="false" customHeight="false" outlineLevel="0" collapsed="false">
      <c r="B65" s="145"/>
      <c r="C65" s="86"/>
      <c r="D65" s="86"/>
      <c r="F65" s="114"/>
    </row>
    <row r="66" customFormat="false" ht="13" hidden="false" customHeight="false" outlineLevel="0" collapsed="false">
      <c r="A66" s="0" t="s">
        <v>124</v>
      </c>
      <c r="B66" s="145" t="n">
        <v>20341</v>
      </c>
      <c r="C66" s="86"/>
      <c r="D66" s="86"/>
    </row>
    <row r="67" customFormat="false" ht="13" hidden="false" customHeight="false" outlineLevel="0" collapsed="false">
      <c r="B67" s="145" t="n">
        <v>53485</v>
      </c>
      <c r="C67" s="86"/>
      <c r="D67" s="86"/>
    </row>
    <row r="68" customFormat="false" ht="13" hidden="false" customHeight="false" outlineLevel="0" collapsed="false">
      <c r="B68" s="145" t="n">
        <v>27132</v>
      </c>
      <c r="C68" s="86"/>
      <c r="D68" s="86"/>
      <c r="I68" s="114" t="s">
        <v>125</v>
      </c>
      <c r="K68" s="114" t="s">
        <v>126</v>
      </c>
    </row>
    <row r="69" customFormat="false" ht="13" hidden="false" customHeight="false" outlineLevel="0" collapsed="false">
      <c r="B69" s="145" t="n">
        <v>48660</v>
      </c>
      <c r="C69" s="86"/>
      <c r="D69" s="86"/>
      <c r="I69" s="0" t="n">
        <v>8600</v>
      </c>
      <c r="K69" s="0" t="n">
        <v>50000</v>
      </c>
    </row>
    <row r="70" customFormat="false" ht="13" hidden="false" customHeight="false" outlineLevel="0" collapsed="false">
      <c r="B70" s="145" t="n">
        <v>55705</v>
      </c>
      <c r="C70" s="86"/>
      <c r="D70" s="86"/>
      <c r="I70" s="0" t="n">
        <v>800</v>
      </c>
      <c r="K70" s="0" t="n">
        <v>50000</v>
      </c>
    </row>
    <row r="71" customFormat="false" ht="13" hidden="false" customHeight="false" outlineLevel="0" collapsed="false">
      <c r="B71" s="145" t="n">
        <v>46175</v>
      </c>
      <c r="C71" s="86"/>
      <c r="D71" s="86"/>
      <c r="I71" s="0" t="n">
        <v>2500</v>
      </c>
    </row>
    <row r="72" customFormat="false" ht="13" hidden="false" customHeight="false" outlineLevel="0" collapsed="false">
      <c r="B72" s="145"/>
      <c r="C72" s="86"/>
      <c r="D72" s="86"/>
      <c r="I72" s="0" t="n">
        <v>500</v>
      </c>
    </row>
    <row r="73" customFormat="false" ht="13" hidden="false" customHeight="false" outlineLevel="0" collapsed="false">
      <c r="B73" s="145"/>
      <c r="C73" s="86"/>
      <c r="D73" s="86"/>
      <c r="F73" s="114" t="s">
        <v>127</v>
      </c>
      <c r="I73" s="0" t="n">
        <v>1400</v>
      </c>
    </row>
    <row r="74" customFormat="false" ht="13" hidden="false" customHeight="false" outlineLevel="0" collapsed="false">
      <c r="B74" s="145"/>
      <c r="C74" s="86"/>
      <c r="D74" s="86"/>
      <c r="H74" s="114"/>
    </row>
    <row r="75" customFormat="false" ht="13" hidden="false" customHeight="false" outlineLevel="0" collapsed="false">
      <c r="A75" s="0" t="s">
        <v>128</v>
      </c>
      <c r="B75" s="145"/>
      <c r="C75" s="86"/>
      <c r="D75" s="86"/>
      <c r="H75" s="114" t="s">
        <v>129</v>
      </c>
      <c r="I75" s="0" t="n">
        <v>40525</v>
      </c>
    </row>
    <row r="76" customFormat="false" ht="13" hidden="false" customHeight="false" outlineLevel="0" collapsed="false">
      <c r="B76" s="145"/>
      <c r="C76" s="86"/>
      <c r="D76" s="86"/>
      <c r="I76" s="0" t="n">
        <v>188</v>
      </c>
    </row>
    <row r="77" customFormat="false" ht="13" hidden="false" customHeight="false" outlineLevel="0" collapsed="false">
      <c r="B77" s="145"/>
      <c r="C77" s="86"/>
      <c r="D77" s="86"/>
      <c r="I77" s="0" t="n">
        <v>2000</v>
      </c>
    </row>
    <row r="78" customFormat="false" ht="13" hidden="false" customHeight="false" outlineLevel="0" collapsed="false">
      <c r="B78" s="145"/>
      <c r="C78" s="86"/>
      <c r="D78" s="86"/>
      <c r="I78" s="0" t="n">
        <v>49203</v>
      </c>
    </row>
    <row r="79" customFormat="false" ht="13" hidden="false" customHeight="false" outlineLevel="0" collapsed="false">
      <c r="B79" s="145"/>
      <c r="C79" s="86"/>
      <c r="D79" s="86"/>
      <c r="I79" s="0" t="n">
        <v>239</v>
      </c>
    </row>
    <row r="80" customFormat="false" ht="13" hidden="false" customHeight="false" outlineLevel="0" collapsed="false">
      <c r="B80" s="145" t="n">
        <v>90000</v>
      </c>
      <c r="C80" s="86"/>
      <c r="D80" s="86"/>
    </row>
    <row r="81" customFormat="false" ht="13" hidden="false" customHeight="false" outlineLevel="0" collapsed="false">
      <c r="A81" s="0" t="s">
        <v>130</v>
      </c>
      <c r="B81" s="145" t="n">
        <v>37986</v>
      </c>
      <c r="C81" s="86"/>
      <c r="D81" s="86"/>
    </row>
    <row r="82" customFormat="false" ht="13" hidden="false" customHeight="false" outlineLevel="0" collapsed="false">
      <c r="B82" s="145" t="n">
        <v>60187</v>
      </c>
      <c r="C82" s="86"/>
      <c r="D82" s="86"/>
    </row>
    <row r="83" customFormat="false" ht="13" hidden="false" customHeight="false" outlineLevel="0" collapsed="false">
      <c r="B83" s="145" t="n">
        <v>75000</v>
      </c>
      <c r="C83" s="86"/>
      <c r="D83" s="86"/>
    </row>
    <row r="84" customFormat="false" ht="13" hidden="false" customHeight="false" outlineLevel="0" collapsed="false">
      <c r="B84" s="145" t="n">
        <v>57385</v>
      </c>
      <c r="C84" s="86"/>
      <c r="D84" s="86"/>
    </row>
    <row r="85" customFormat="false" ht="13" hidden="false" customHeight="false" outlineLevel="0" collapsed="false">
      <c r="B85" s="145"/>
      <c r="C85" s="86"/>
      <c r="D85" s="86"/>
      <c r="H85" s="114" t="s">
        <v>131</v>
      </c>
      <c r="I85" s="0" t="n">
        <v>13900</v>
      </c>
    </row>
    <row r="86" customFormat="false" ht="13" hidden="false" customHeight="false" outlineLevel="0" collapsed="false">
      <c r="B86" s="145"/>
      <c r="C86" s="86"/>
      <c r="D86" s="86"/>
    </row>
    <row r="87" customFormat="false" ht="13" hidden="false" customHeight="false" outlineLevel="0" collapsed="false">
      <c r="B87" s="145"/>
      <c r="C87" s="86"/>
      <c r="D87" s="86"/>
    </row>
    <row r="88" customFormat="false" ht="13" hidden="false" customHeight="false" outlineLevel="0" collapsed="false">
      <c r="A88" s="114" t="s">
        <v>128</v>
      </c>
      <c r="B88" s="145" t="n">
        <v>4136</v>
      </c>
      <c r="C88" s="86"/>
      <c r="D88" s="86"/>
    </row>
    <row r="89" customFormat="false" ht="13" hidden="false" customHeight="false" outlineLevel="0" collapsed="false">
      <c r="A89" s="114" t="s">
        <v>132</v>
      </c>
      <c r="B89" s="145" t="n">
        <v>14393</v>
      </c>
      <c r="C89" s="86"/>
      <c r="D89" s="86"/>
    </row>
    <row r="90" customFormat="false" ht="13" hidden="false" customHeight="false" outlineLevel="0" collapsed="false">
      <c r="A90" s="0" t="s">
        <v>133</v>
      </c>
      <c r="B90" s="145"/>
      <c r="C90" s="86"/>
      <c r="D90" s="86"/>
    </row>
    <row r="91" customFormat="false" ht="13" hidden="false" customHeight="false" outlineLevel="0" collapsed="false">
      <c r="A91" s="114" t="s">
        <v>134</v>
      </c>
      <c r="B91" s="145" t="n">
        <v>15491</v>
      </c>
      <c r="C91" s="86"/>
      <c r="D91" s="86"/>
    </row>
    <row r="92" customFormat="false" ht="13" hidden="false" customHeight="false" outlineLevel="0" collapsed="false">
      <c r="A92" s="114" t="s">
        <v>135</v>
      </c>
      <c r="B92" s="145" t="n">
        <v>20795</v>
      </c>
      <c r="C92" s="86"/>
      <c r="D92" s="86"/>
      <c r="F92" s="114" t="s">
        <v>136</v>
      </c>
    </row>
    <row r="93" customFormat="false" ht="13" hidden="false" customHeight="false" outlineLevel="0" collapsed="false">
      <c r="A93" s="114" t="s">
        <v>134</v>
      </c>
      <c r="B93" s="145" t="n">
        <v>18483</v>
      </c>
      <c r="C93" s="86"/>
      <c r="D93" s="86"/>
    </row>
    <row r="94" customFormat="false" ht="13" hidden="false" customHeight="false" outlineLevel="0" collapsed="false">
      <c r="A94" s="114" t="s">
        <v>21</v>
      </c>
      <c r="B94" s="145" t="n">
        <v>20160</v>
      </c>
      <c r="C94" s="86"/>
      <c r="D94" s="86"/>
    </row>
    <row r="95" customFormat="false" ht="13" hidden="false" customHeight="false" outlineLevel="0" collapsed="false">
      <c r="A95" s="114" t="s">
        <v>137</v>
      </c>
      <c r="B95" s="145" t="n">
        <v>14450</v>
      </c>
      <c r="C95" s="86"/>
      <c r="D95" s="86"/>
    </row>
    <row r="96" customFormat="false" ht="13" hidden="false" customHeight="false" outlineLevel="0" collapsed="false">
      <c r="A96" s="0" t="s">
        <v>21</v>
      </c>
      <c r="B96" s="145"/>
      <c r="C96" s="86"/>
      <c r="D96" s="86"/>
    </row>
    <row r="97" customFormat="false" ht="13" hidden="false" customHeight="false" outlineLevel="0" collapsed="false">
      <c r="B97" s="145"/>
      <c r="C97" s="86"/>
      <c r="D97" s="86"/>
    </row>
    <row r="98" customFormat="false" ht="13" hidden="false" customHeight="false" outlineLevel="0" collapsed="false">
      <c r="A98" s="114" t="s">
        <v>21</v>
      </c>
      <c r="B98" s="145"/>
      <c r="C98" s="86"/>
      <c r="D98" s="86"/>
    </row>
    <row r="99" customFormat="false" ht="13" hidden="false" customHeight="false" outlineLevel="0" collapsed="false">
      <c r="A99" s="0" t="s">
        <v>134</v>
      </c>
      <c r="B99" s="145" t="n">
        <v>4280</v>
      </c>
      <c r="C99" s="86"/>
      <c r="D99" s="86"/>
    </row>
    <row r="100" customFormat="false" ht="13" hidden="false" customHeight="false" outlineLevel="0" collapsed="false">
      <c r="A100" s="0" t="s">
        <v>134</v>
      </c>
      <c r="B100" s="145" t="n">
        <v>55912</v>
      </c>
      <c r="C100" s="86"/>
      <c r="D100" s="86"/>
      <c r="F100" s="0" t="s">
        <v>13</v>
      </c>
      <c r="G100" s="0" t="n">
        <v>15745</v>
      </c>
    </row>
    <row r="101" customFormat="false" ht="13" hidden="false" customHeight="false" outlineLevel="0" collapsed="false">
      <c r="A101" s="114" t="s">
        <v>138</v>
      </c>
      <c r="B101" s="145" t="n">
        <v>34670</v>
      </c>
      <c r="C101" s="86"/>
      <c r="D101" s="86"/>
    </row>
    <row r="102" customFormat="false" ht="13" hidden="false" customHeight="false" outlineLevel="0" collapsed="false">
      <c r="A102" s="0" t="s">
        <v>135</v>
      </c>
      <c r="B102" s="145"/>
      <c r="C102" s="86"/>
      <c r="D102" s="86"/>
    </row>
    <row r="103" customFormat="false" ht="13" hidden="false" customHeight="false" outlineLevel="0" collapsed="false">
      <c r="A103" s="114" t="s">
        <v>138</v>
      </c>
      <c r="B103" s="145" t="n">
        <v>33047</v>
      </c>
      <c r="C103" s="86"/>
      <c r="D103" s="86"/>
    </row>
    <row r="104" customFormat="false" ht="13" hidden="false" customHeight="false" outlineLevel="0" collapsed="false">
      <c r="A104" s="0" t="s">
        <v>135</v>
      </c>
      <c r="B104" s="145" t="n">
        <v>12756</v>
      </c>
      <c r="C104" s="86"/>
      <c r="D104" s="86"/>
    </row>
    <row r="105" customFormat="false" ht="13" hidden="false" customHeight="false" outlineLevel="0" collapsed="false">
      <c r="A105" s="114" t="s">
        <v>138</v>
      </c>
      <c r="B105" s="145" t="n">
        <v>30313</v>
      </c>
      <c r="C105" s="86"/>
      <c r="D105" s="86"/>
    </row>
    <row r="106" customFormat="false" ht="13" hidden="false" customHeight="false" outlineLevel="0" collapsed="false">
      <c r="A106" s="0" t="s">
        <v>138</v>
      </c>
      <c r="B106" s="145" t="n">
        <v>49421</v>
      </c>
      <c r="C106" s="86"/>
      <c r="D106" s="86"/>
    </row>
    <row r="107" customFormat="false" ht="13" hidden="false" customHeight="false" outlineLevel="0" collapsed="false">
      <c r="A107" s="0" t="s">
        <v>138</v>
      </c>
      <c r="B107" s="145" t="n">
        <v>25005</v>
      </c>
      <c r="C107" s="86"/>
      <c r="D107" s="86"/>
    </row>
    <row r="108" customFormat="false" ht="13" hidden="false" customHeight="false" outlineLevel="0" collapsed="false">
      <c r="A108" s="0" t="s">
        <v>138</v>
      </c>
      <c r="B108" s="145" t="n">
        <v>8331</v>
      </c>
      <c r="C108" s="86"/>
      <c r="D108" s="86"/>
    </row>
    <row r="109" customFormat="false" ht="13" hidden="false" customHeight="false" outlineLevel="0" collapsed="false">
      <c r="A109" s="0" t="s">
        <v>138</v>
      </c>
      <c r="B109" s="145" t="n">
        <v>34670</v>
      </c>
      <c r="C109" s="86"/>
      <c r="D109" s="86"/>
    </row>
    <row r="110" customFormat="false" ht="13" hidden="false" customHeight="false" outlineLevel="0" collapsed="false">
      <c r="A110" s="114" t="s">
        <v>139</v>
      </c>
      <c r="B110" s="145" t="n">
        <v>10715</v>
      </c>
      <c r="C110" s="86"/>
      <c r="D110" s="86"/>
    </row>
    <row r="111" customFormat="false" ht="13" hidden="false" customHeight="false" outlineLevel="0" collapsed="false">
      <c r="A111" s="114" t="s">
        <v>134</v>
      </c>
      <c r="B111" s="145" t="n">
        <v>18483</v>
      </c>
      <c r="C111" s="86"/>
      <c r="D111" s="86"/>
    </row>
    <row r="112" customFormat="false" ht="13" hidden="false" customHeight="false" outlineLevel="0" collapsed="false">
      <c r="A112" s="0" t="s">
        <v>140</v>
      </c>
      <c r="B112" s="145"/>
      <c r="C112" s="86"/>
      <c r="D112" s="86"/>
    </row>
    <row r="113" customFormat="false" ht="13" hidden="false" customHeight="false" outlineLevel="0" collapsed="false">
      <c r="A113" s="0" t="s">
        <v>141</v>
      </c>
      <c r="B113" s="145" t="n">
        <v>43220</v>
      </c>
      <c r="C113" s="86"/>
      <c r="D113" s="86"/>
    </row>
    <row r="114" customFormat="false" ht="13" hidden="false" customHeight="false" outlineLevel="0" collapsed="false">
      <c r="A114" s="0" t="s">
        <v>142</v>
      </c>
      <c r="B114" s="145" t="n">
        <v>23782</v>
      </c>
      <c r="C114" s="86"/>
      <c r="D114" s="86"/>
    </row>
    <row r="115" customFormat="false" ht="13" hidden="false" customHeight="false" outlineLevel="0" collapsed="false">
      <c r="A115" s="0" t="s">
        <v>142</v>
      </c>
      <c r="B115" s="145" t="n">
        <v>21080</v>
      </c>
      <c r="C115" s="86"/>
      <c r="D115" s="86"/>
    </row>
    <row r="116" customFormat="false" ht="13" hidden="false" customHeight="false" outlineLevel="0" collapsed="false">
      <c r="A116" s="0" t="s">
        <v>142</v>
      </c>
      <c r="B116" s="145" t="n">
        <v>62216</v>
      </c>
      <c r="C116" s="86"/>
      <c r="D116" s="86"/>
    </row>
    <row r="117" customFormat="false" ht="13" hidden="false" customHeight="false" outlineLevel="0" collapsed="false">
      <c r="B117" s="145" t="n">
        <v>23752</v>
      </c>
      <c r="C117" s="86"/>
      <c r="D117" s="86"/>
    </row>
    <row r="118" customFormat="false" ht="13" hidden="false" customHeight="false" outlineLevel="0" collapsed="false">
      <c r="A118" s="0" t="s">
        <v>143</v>
      </c>
      <c r="B118" s="145"/>
      <c r="C118" s="86"/>
      <c r="D118" s="86"/>
    </row>
    <row r="119" customFormat="false" ht="13" hidden="false" customHeight="false" outlineLevel="0" collapsed="false">
      <c r="A119" s="114" t="s">
        <v>142</v>
      </c>
      <c r="B119" s="145"/>
      <c r="C119" s="86"/>
      <c r="D119" s="86"/>
    </row>
    <row r="120" customFormat="false" ht="13" hidden="false" customHeight="false" outlineLevel="0" collapsed="false">
      <c r="B120" s="145"/>
      <c r="C120" s="86"/>
      <c r="D120" s="86"/>
    </row>
    <row r="121" customFormat="false" ht="13" hidden="false" customHeight="false" outlineLevel="0" collapsed="false">
      <c r="B121" s="145"/>
      <c r="C121" s="86"/>
      <c r="D121" s="86"/>
    </row>
    <row r="122" customFormat="false" ht="13" hidden="false" customHeight="false" outlineLevel="0" collapsed="false">
      <c r="B122" s="145"/>
      <c r="C122" s="86"/>
      <c r="D122" s="86"/>
    </row>
    <row r="123" customFormat="false" ht="13" hidden="false" customHeight="false" outlineLevel="0" collapsed="false">
      <c r="B123" s="145"/>
      <c r="C123" s="86"/>
      <c r="D123" s="86"/>
    </row>
    <row r="124" customFormat="false" ht="13" hidden="false" customHeight="false" outlineLevel="0" collapsed="false">
      <c r="B124" s="145"/>
      <c r="C124" s="86"/>
      <c r="D124" s="86"/>
    </row>
    <row r="125" customFormat="false" ht="13" hidden="false" customHeight="false" outlineLevel="0" collapsed="false">
      <c r="B125" s="145"/>
      <c r="C125" s="86"/>
      <c r="D125" s="86"/>
    </row>
    <row r="126" customFormat="false" ht="13" hidden="false" customHeight="false" outlineLevel="0" collapsed="false">
      <c r="B126" s="145"/>
      <c r="C126" s="86"/>
      <c r="D126" s="86"/>
    </row>
    <row r="127" customFormat="false" ht="13" hidden="false" customHeight="false" outlineLevel="0" collapsed="false">
      <c r="B127" s="145"/>
      <c r="C127" s="86"/>
      <c r="D127" s="86"/>
    </row>
    <row r="128" customFormat="false" ht="13" hidden="false" customHeight="false" outlineLevel="0" collapsed="false">
      <c r="B128" s="145"/>
      <c r="C128" s="86"/>
      <c r="D128" s="86"/>
    </row>
    <row r="129" customFormat="false" ht="13" hidden="false" customHeight="false" outlineLevel="0" collapsed="false">
      <c r="A129" s="0" t="s">
        <v>144</v>
      </c>
      <c r="B129" s="145"/>
      <c r="C129" s="86"/>
      <c r="D129" s="86"/>
    </row>
    <row r="130" customFormat="false" ht="13" hidden="false" customHeight="false" outlineLevel="0" collapsed="false">
      <c r="B130" s="145"/>
      <c r="C130" s="86"/>
      <c r="D130" s="86"/>
    </row>
    <row r="131" customFormat="false" ht="13" hidden="false" customHeight="false" outlineLevel="0" collapsed="false">
      <c r="B131" s="145"/>
      <c r="C131" s="86"/>
      <c r="D131" s="86"/>
    </row>
    <row r="132" customFormat="false" ht="13" hidden="false" customHeight="false" outlineLevel="0" collapsed="false">
      <c r="B132" s="145"/>
      <c r="C132" s="86"/>
      <c r="D132" s="86"/>
    </row>
    <row r="133" customFormat="false" ht="13" hidden="false" customHeight="false" outlineLevel="0" collapsed="false">
      <c r="B133" s="145"/>
      <c r="C133" s="86"/>
      <c r="D133" s="86"/>
    </row>
    <row r="134" customFormat="false" ht="13" hidden="false" customHeight="false" outlineLevel="0" collapsed="false">
      <c r="B134" s="145"/>
      <c r="C134" s="86"/>
      <c r="D134" s="86"/>
    </row>
    <row r="135" customFormat="false" ht="13" hidden="false" customHeight="false" outlineLevel="0" collapsed="false">
      <c r="B135" s="145"/>
      <c r="C135" s="86"/>
      <c r="D135" s="86"/>
    </row>
    <row r="136" customFormat="false" ht="13" hidden="false" customHeight="false" outlineLevel="0" collapsed="false">
      <c r="B136" s="145"/>
      <c r="C136" s="86"/>
      <c r="D136" s="86"/>
    </row>
    <row r="137" customFormat="false" ht="13" hidden="false" customHeight="false" outlineLevel="0" collapsed="false">
      <c r="B137" s="145"/>
      <c r="C137" s="86"/>
      <c r="D137" s="86"/>
    </row>
    <row r="138" customFormat="false" ht="13" hidden="false" customHeight="false" outlineLevel="0" collapsed="false">
      <c r="B138" s="145"/>
      <c r="C138" s="86"/>
      <c r="D138" s="86"/>
    </row>
    <row r="139" customFormat="false" ht="13" hidden="false" customHeight="false" outlineLevel="0" collapsed="false">
      <c r="B139" s="145"/>
      <c r="C139" s="86"/>
      <c r="D139" s="86"/>
    </row>
    <row r="140" customFormat="false" ht="13" hidden="false" customHeight="false" outlineLevel="0" collapsed="false">
      <c r="B140" s="145"/>
      <c r="C140" s="86"/>
      <c r="D140" s="86"/>
    </row>
    <row r="141" customFormat="false" ht="13" hidden="false" customHeight="false" outlineLevel="0" collapsed="false">
      <c r="B141" s="145"/>
      <c r="C141" s="86"/>
      <c r="D141" s="86"/>
    </row>
    <row r="142" customFormat="false" ht="13" hidden="false" customHeight="false" outlineLevel="0" collapsed="false">
      <c r="B142" s="145"/>
      <c r="C142" s="86"/>
      <c r="D142" s="86"/>
    </row>
    <row r="143" customFormat="false" ht="13" hidden="false" customHeight="false" outlineLevel="0" collapsed="false">
      <c r="B143" s="145"/>
      <c r="C143" s="86"/>
      <c r="D143" s="86"/>
    </row>
    <row r="144" customFormat="false" ht="13" hidden="false" customHeight="false" outlineLevel="0" collapsed="false">
      <c r="B144" s="145"/>
      <c r="C144" s="86"/>
      <c r="D144" s="86"/>
    </row>
    <row r="145" customFormat="false" ht="13" hidden="false" customHeight="false" outlineLevel="0" collapsed="false">
      <c r="B145" s="145"/>
      <c r="C145" s="86"/>
      <c r="D145" s="86"/>
    </row>
    <row r="146" customFormat="false" ht="13" hidden="false" customHeight="false" outlineLevel="0" collapsed="false">
      <c r="B146" s="145"/>
      <c r="C146" s="86"/>
      <c r="D146" s="86"/>
    </row>
    <row r="147" customFormat="false" ht="13" hidden="false" customHeight="false" outlineLevel="0" collapsed="false">
      <c r="B147" s="145"/>
      <c r="C147" s="86"/>
      <c r="D147" s="86"/>
    </row>
    <row r="148" customFormat="false" ht="13" hidden="false" customHeight="false" outlineLevel="0" collapsed="false">
      <c r="B148" s="145"/>
      <c r="C148" s="86"/>
      <c r="D148" s="86"/>
    </row>
    <row r="149" customFormat="false" ht="13" hidden="false" customHeight="false" outlineLevel="0" collapsed="false">
      <c r="B149" s="145"/>
      <c r="C149" s="86"/>
      <c r="D149" s="86"/>
    </row>
    <row r="150" customFormat="false" ht="13" hidden="false" customHeight="false" outlineLevel="0" collapsed="false">
      <c r="B150" s="145"/>
      <c r="C150" s="86"/>
      <c r="D150" s="86"/>
    </row>
    <row r="151" customFormat="false" ht="13" hidden="false" customHeight="false" outlineLevel="0" collapsed="false">
      <c r="B151" s="145"/>
      <c r="C151" s="86"/>
      <c r="D151" s="86"/>
    </row>
    <row r="152" customFormat="false" ht="13" hidden="false" customHeight="false" outlineLevel="0" collapsed="false">
      <c r="B152" s="145"/>
      <c r="C152" s="86"/>
      <c r="D152" s="86"/>
    </row>
    <row r="153" customFormat="false" ht="13" hidden="false" customHeight="false" outlineLevel="0" collapsed="false">
      <c r="B153" s="145"/>
      <c r="C153" s="86"/>
      <c r="D153" s="86"/>
    </row>
    <row r="154" customFormat="false" ht="13" hidden="false" customHeight="false" outlineLevel="0" collapsed="false">
      <c r="B154" s="145"/>
      <c r="C154" s="86"/>
      <c r="D154" s="86"/>
    </row>
    <row r="155" customFormat="false" ht="13" hidden="false" customHeight="false" outlineLevel="0" collapsed="false">
      <c r="B155" s="145"/>
      <c r="C155" s="86"/>
      <c r="D155" s="86"/>
    </row>
    <row r="156" customFormat="false" ht="13" hidden="false" customHeight="false" outlineLevel="0" collapsed="false">
      <c r="B156" s="145"/>
      <c r="C156" s="86"/>
      <c r="D156" s="86"/>
    </row>
    <row r="157" customFormat="false" ht="13" hidden="false" customHeight="false" outlineLevel="0" collapsed="false">
      <c r="B157" s="145"/>
      <c r="C157" s="86"/>
      <c r="D157" s="86"/>
    </row>
    <row r="158" customFormat="false" ht="13" hidden="false" customHeight="false" outlineLevel="0" collapsed="false">
      <c r="B158" s="145"/>
      <c r="C158" s="86"/>
      <c r="D158" s="86"/>
    </row>
    <row r="159" customFormat="false" ht="13" hidden="false" customHeight="false" outlineLevel="0" collapsed="false">
      <c r="B159" s="145"/>
      <c r="C159" s="86"/>
      <c r="D159" s="86"/>
    </row>
    <row r="160" customFormat="false" ht="13" hidden="false" customHeight="false" outlineLevel="0" collapsed="false">
      <c r="B160" s="145"/>
      <c r="C160" s="86"/>
      <c r="D160" s="86"/>
    </row>
    <row r="161" customFormat="false" ht="13" hidden="false" customHeight="false" outlineLevel="0" collapsed="false">
      <c r="B161" s="145"/>
      <c r="C161" s="86"/>
      <c r="D161" s="86"/>
    </row>
    <row r="162" customFormat="false" ht="13" hidden="false" customHeight="false" outlineLevel="0" collapsed="false">
      <c r="B162" s="145"/>
      <c r="C162" s="86"/>
      <c r="D162" s="86"/>
    </row>
    <row r="163" customFormat="false" ht="13" hidden="false" customHeight="false" outlineLevel="0" collapsed="false">
      <c r="B163" s="145"/>
      <c r="C163" s="86"/>
      <c r="D163" s="86"/>
    </row>
    <row r="164" customFormat="false" ht="13" hidden="false" customHeight="false" outlineLevel="0" collapsed="false">
      <c r="B164" s="145"/>
      <c r="C164" s="86"/>
      <c r="D164" s="86"/>
    </row>
    <row r="165" customFormat="false" ht="13" hidden="false" customHeight="false" outlineLevel="0" collapsed="false">
      <c r="B165" s="145"/>
      <c r="C165" s="86"/>
      <c r="D165" s="86"/>
    </row>
    <row r="166" customFormat="false" ht="13" hidden="false" customHeight="false" outlineLevel="0" collapsed="false">
      <c r="B166" s="145"/>
      <c r="C166" s="86"/>
      <c r="D166" s="86"/>
    </row>
    <row r="167" customFormat="false" ht="13" hidden="false" customHeight="false" outlineLevel="0" collapsed="false">
      <c r="B167" s="145"/>
      <c r="C167" s="86"/>
      <c r="D167" s="86"/>
    </row>
    <row r="168" customFormat="false" ht="13" hidden="false" customHeight="false" outlineLevel="0" collapsed="false">
      <c r="B168" s="145"/>
      <c r="C168" s="86"/>
      <c r="D168" s="86"/>
    </row>
    <row r="169" customFormat="false" ht="13" hidden="false" customHeight="false" outlineLevel="0" collapsed="false">
      <c r="B169" s="145"/>
      <c r="C169" s="86"/>
      <c r="D169" s="86"/>
    </row>
    <row r="170" customFormat="false" ht="13" hidden="false" customHeight="false" outlineLevel="0" collapsed="false">
      <c r="B170" s="145"/>
      <c r="C170" s="86"/>
      <c r="D170" s="86"/>
    </row>
    <row r="171" customFormat="false" ht="13" hidden="false" customHeight="false" outlineLevel="0" collapsed="false">
      <c r="B171" s="145"/>
      <c r="C171" s="86"/>
      <c r="D171" s="86"/>
    </row>
    <row r="172" customFormat="false" ht="13" hidden="false" customHeight="false" outlineLevel="0" collapsed="false">
      <c r="B172" s="145"/>
      <c r="C172" s="86"/>
      <c r="D172" s="86"/>
    </row>
    <row r="173" customFormat="false" ht="13" hidden="false" customHeight="false" outlineLevel="0" collapsed="false">
      <c r="B173" s="145"/>
      <c r="C173" s="86"/>
      <c r="D173" s="86"/>
    </row>
    <row r="174" customFormat="false" ht="13" hidden="false" customHeight="false" outlineLevel="0" collapsed="false">
      <c r="B174" s="145"/>
      <c r="C174" s="86"/>
      <c r="D174" s="86"/>
    </row>
    <row r="175" customFormat="false" ht="13" hidden="false" customHeight="false" outlineLevel="0" collapsed="false">
      <c r="B175" s="145"/>
      <c r="C175" s="86"/>
      <c r="D175" s="86"/>
    </row>
    <row r="176" customFormat="false" ht="13" hidden="false" customHeight="false" outlineLevel="0" collapsed="false">
      <c r="B176" s="145"/>
      <c r="C176" s="86"/>
      <c r="D176" s="86"/>
    </row>
    <row r="177" customFormat="false" ht="13" hidden="false" customHeight="false" outlineLevel="0" collapsed="false">
      <c r="B177" s="145"/>
      <c r="C177" s="86"/>
      <c r="D177" s="86"/>
    </row>
    <row r="178" customFormat="false" ht="13" hidden="false" customHeight="false" outlineLevel="0" collapsed="false">
      <c r="B178" s="145"/>
      <c r="C178" s="86"/>
      <c r="D178" s="86"/>
    </row>
    <row r="179" customFormat="false" ht="13" hidden="false" customHeight="false" outlineLevel="0" collapsed="false">
      <c r="B179" s="145"/>
      <c r="C179" s="86"/>
      <c r="D179" s="86"/>
    </row>
    <row r="180" customFormat="false" ht="13" hidden="false" customHeight="false" outlineLevel="0" collapsed="false">
      <c r="B180" s="145"/>
      <c r="C180" s="86"/>
      <c r="D180" s="86"/>
    </row>
    <row r="181" customFormat="false" ht="13" hidden="false" customHeight="false" outlineLevel="0" collapsed="false">
      <c r="B181" s="145"/>
      <c r="C181" s="86"/>
      <c r="D181" s="86"/>
    </row>
    <row r="182" customFormat="false" ht="13" hidden="false" customHeight="false" outlineLevel="0" collapsed="false">
      <c r="B182" s="145"/>
      <c r="C182" s="86"/>
      <c r="D182" s="86"/>
    </row>
    <row r="183" customFormat="false" ht="13" hidden="false" customHeight="false" outlineLevel="0" collapsed="false">
      <c r="B183" s="145"/>
      <c r="C183" s="86"/>
      <c r="D183" s="86"/>
    </row>
    <row r="184" customFormat="false" ht="13" hidden="false" customHeight="false" outlineLevel="0" collapsed="false">
      <c r="B184" s="145"/>
      <c r="C184" s="86"/>
      <c r="D184" s="86"/>
    </row>
    <row r="185" customFormat="false" ht="13" hidden="false" customHeight="false" outlineLevel="0" collapsed="false">
      <c r="B185" s="145"/>
      <c r="C185" s="86"/>
      <c r="D185" s="86"/>
    </row>
    <row r="186" customFormat="false" ht="13" hidden="false" customHeight="false" outlineLevel="0" collapsed="false">
      <c r="B186" s="145"/>
      <c r="C186" s="86"/>
      <c r="D186" s="86"/>
    </row>
    <row r="187" customFormat="false" ht="13" hidden="false" customHeight="false" outlineLevel="0" collapsed="false">
      <c r="B187" s="145"/>
      <c r="C187" s="86"/>
      <c r="D187" s="86"/>
    </row>
    <row r="188" customFormat="false" ht="13" hidden="false" customHeight="false" outlineLevel="0" collapsed="false">
      <c r="B188" s="145"/>
      <c r="C188" s="86"/>
      <c r="D188" s="86"/>
    </row>
    <row r="189" customFormat="false" ht="13" hidden="false" customHeight="false" outlineLevel="0" collapsed="false">
      <c r="B189" s="145"/>
      <c r="C189" s="86"/>
      <c r="D189" s="86"/>
    </row>
    <row r="190" customFormat="false" ht="13" hidden="false" customHeight="false" outlineLevel="0" collapsed="false">
      <c r="B190" s="145"/>
      <c r="C190" s="86"/>
      <c r="D190" s="86"/>
    </row>
    <row r="191" customFormat="false" ht="13" hidden="false" customHeight="false" outlineLevel="0" collapsed="false">
      <c r="B191" s="145"/>
      <c r="C191" s="86"/>
      <c r="D191" s="86"/>
    </row>
    <row r="192" customFormat="false" ht="13" hidden="false" customHeight="false" outlineLevel="0" collapsed="false">
      <c r="B192" s="145"/>
      <c r="C192" s="86"/>
      <c r="D192" s="86"/>
    </row>
    <row r="193" customFormat="false" ht="13" hidden="false" customHeight="false" outlineLevel="0" collapsed="false">
      <c r="B193" s="145"/>
      <c r="C193" s="86"/>
      <c r="D193" s="86"/>
    </row>
    <row r="194" customFormat="false" ht="13" hidden="false" customHeight="false" outlineLevel="0" collapsed="false">
      <c r="B194" s="145"/>
      <c r="C194" s="86"/>
      <c r="D194" s="86"/>
    </row>
    <row r="195" customFormat="false" ht="13" hidden="false" customHeight="false" outlineLevel="0" collapsed="false">
      <c r="B195" s="145"/>
      <c r="C195" s="86"/>
      <c r="D195" s="86"/>
    </row>
    <row r="196" customFormat="false" ht="13" hidden="false" customHeight="false" outlineLevel="0" collapsed="false">
      <c r="B196" s="145"/>
      <c r="C196" s="86"/>
      <c r="D196" s="86"/>
    </row>
    <row r="197" customFormat="false" ht="13" hidden="false" customHeight="false" outlineLevel="0" collapsed="false">
      <c r="B197" s="145"/>
      <c r="C197" s="86"/>
      <c r="D197" s="86"/>
    </row>
    <row r="198" customFormat="false" ht="13" hidden="false" customHeight="false" outlineLevel="0" collapsed="false">
      <c r="B198" s="145"/>
      <c r="C198" s="86"/>
      <c r="D198" s="86"/>
    </row>
    <row r="199" customFormat="false" ht="13" hidden="false" customHeight="false" outlineLevel="0" collapsed="false">
      <c r="B199" s="145"/>
      <c r="C199" s="86"/>
      <c r="D199" s="86"/>
    </row>
    <row r="200" customFormat="false" ht="13" hidden="false" customHeight="false" outlineLevel="0" collapsed="false">
      <c r="B200" s="145"/>
      <c r="C200" s="86"/>
      <c r="D200" s="86"/>
    </row>
    <row r="201" customFormat="false" ht="13" hidden="false" customHeight="false" outlineLevel="0" collapsed="false">
      <c r="B201" s="145"/>
      <c r="C201" s="86"/>
      <c r="D201" s="86"/>
    </row>
    <row r="202" customFormat="false" ht="13" hidden="false" customHeight="false" outlineLevel="0" collapsed="false">
      <c r="B202" s="145"/>
      <c r="C202" s="86"/>
      <c r="D202" s="86"/>
    </row>
    <row r="203" customFormat="false" ht="13" hidden="false" customHeight="false" outlineLevel="0" collapsed="false">
      <c r="B203" s="145"/>
      <c r="C203" s="86"/>
      <c r="D203" s="86"/>
    </row>
    <row r="204" customFormat="false" ht="13" hidden="false" customHeight="false" outlineLevel="0" collapsed="false">
      <c r="B204" s="145"/>
      <c r="C204" s="86"/>
      <c r="D204" s="86"/>
    </row>
    <row r="205" customFormat="false" ht="13" hidden="false" customHeight="false" outlineLevel="0" collapsed="false">
      <c r="B205" s="145"/>
      <c r="C205" s="86"/>
      <c r="D205" s="86"/>
    </row>
    <row r="206" customFormat="false" ht="13" hidden="false" customHeight="false" outlineLevel="0" collapsed="false">
      <c r="B206" s="145"/>
      <c r="C206" s="86"/>
      <c r="D206" s="86"/>
    </row>
    <row r="207" customFormat="false" ht="13" hidden="false" customHeight="false" outlineLevel="0" collapsed="false">
      <c r="B207" s="145"/>
      <c r="C207" s="86"/>
      <c r="D207" s="86"/>
    </row>
    <row r="208" customFormat="false" ht="13" hidden="false" customHeight="false" outlineLevel="0" collapsed="false">
      <c r="B208" s="145"/>
      <c r="C208" s="86"/>
      <c r="D208" s="86"/>
    </row>
    <row r="209" customFormat="false" ht="13" hidden="false" customHeight="false" outlineLevel="0" collapsed="false">
      <c r="B209" s="145"/>
      <c r="C209" s="86"/>
      <c r="D209" s="86"/>
    </row>
    <row r="210" customFormat="false" ht="13" hidden="false" customHeight="false" outlineLevel="0" collapsed="false">
      <c r="B210" s="145"/>
      <c r="C210" s="86"/>
      <c r="D210" s="86"/>
    </row>
    <row r="211" customFormat="false" ht="13" hidden="false" customHeight="false" outlineLevel="0" collapsed="false">
      <c r="B211" s="145"/>
      <c r="C211" s="86"/>
      <c r="D211" s="86"/>
    </row>
    <row r="212" customFormat="false" ht="13" hidden="false" customHeight="false" outlineLevel="0" collapsed="false">
      <c r="B212" s="145"/>
      <c r="C212" s="86"/>
      <c r="D212" s="86"/>
    </row>
    <row r="213" customFormat="false" ht="13" hidden="false" customHeight="false" outlineLevel="0" collapsed="false">
      <c r="B213" s="145"/>
      <c r="C213" s="86"/>
      <c r="D213" s="86"/>
    </row>
    <row r="214" customFormat="false" ht="13" hidden="false" customHeight="false" outlineLevel="0" collapsed="false">
      <c r="B214" s="145"/>
      <c r="C214" s="86"/>
      <c r="D214" s="86"/>
    </row>
    <row r="215" customFormat="false" ht="13" hidden="false" customHeight="false" outlineLevel="0" collapsed="false">
      <c r="B215" s="145"/>
      <c r="C215" s="86"/>
      <c r="D215" s="86"/>
    </row>
    <row r="216" customFormat="false" ht="13" hidden="false" customHeight="false" outlineLevel="0" collapsed="false">
      <c r="B216" s="145"/>
      <c r="C216" s="86"/>
      <c r="D216" s="86"/>
    </row>
    <row r="217" customFormat="false" ht="13" hidden="false" customHeight="false" outlineLevel="0" collapsed="false">
      <c r="B217" s="145"/>
      <c r="C217" s="86"/>
      <c r="D217" s="86"/>
    </row>
    <row r="218" customFormat="false" ht="13" hidden="false" customHeight="false" outlineLevel="0" collapsed="false">
      <c r="B218" s="145"/>
      <c r="C218" s="86"/>
      <c r="D218" s="86"/>
    </row>
    <row r="219" customFormat="false" ht="13" hidden="false" customHeight="false" outlineLevel="0" collapsed="false">
      <c r="B219" s="145"/>
      <c r="C219" s="86"/>
      <c r="D219" s="86"/>
    </row>
    <row r="220" customFormat="false" ht="13" hidden="false" customHeight="false" outlineLevel="0" collapsed="false">
      <c r="B220" s="145"/>
      <c r="C220" s="86"/>
      <c r="D220" s="86"/>
    </row>
    <row r="221" customFormat="false" ht="13" hidden="false" customHeight="false" outlineLevel="0" collapsed="false">
      <c r="B221" s="145"/>
      <c r="C221" s="86"/>
      <c r="D221" s="86"/>
    </row>
    <row r="222" customFormat="false" ht="13" hidden="false" customHeight="false" outlineLevel="0" collapsed="false">
      <c r="B222" s="145"/>
      <c r="C222" s="86"/>
      <c r="D222" s="86"/>
    </row>
    <row r="223" customFormat="false" ht="13" hidden="false" customHeight="false" outlineLevel="0" collapsed="false">
      <c r="B223" s="145"/>
      <c r="C223" s="86"/>
      <c r="D223" s="86"/>
    </row>
    <row r="224" customFormat="false" ht="13" hidden="false" customHeight="false" outlineLevel="0" collapsed="false">
      <c r="B224" s="145"/>
      <c r="C224" s="86"/>
      <c r="D224" s="86"/>
    </row>
    <row r="225" customFormat="false" ht="13" hidden="false" customHeight="false" outlineLevel="0" collapsed="false">
      <c r="B225" s="145"/>
      <c r="C225" s="86"/>
      <c r="D225" s="86"/>
    </row>
    <row r="226" customFormat="false" ht="13" hidden="false" customHeight="false" outlineLevel="0" collapsed="false">
      <c r="B226" s="145"/>
      <c r="C226" s="86"/>
      <c r="D226" s="86"/>
    </row>
    <row r="227" customFormat="false" ht="13" hidden="false" customHeight="false" outlineLevel="0" collapsed="false">
      <c r="B227" s="145"/>
      <c r="C227" s="86"/>
      <c r="D227" s="86"/>
    </row>
    <row r="228" customFormat="false" ht="13" hidden="false" customHeight="false" outlineLevel="0" collapsed="false">
      <c r="B228" s="145"/>
      <c r="C228" s="86"/>
      <c r="D228" s="86"/>
    </row>
    <row r="229" customFormat="false" ht="13" hidden="false" customHeight="false" outlineLevel="0" collapsed="false">
      <c r="B229" s="145"/>
      <c r="C229" s="86"/>
      <c r="D229" s="86"/>
    </row>
    <row r="230" customFormat="false" ht="13" hidden="false" customHeight="false" outlineLevel="0" collapsed="false">
      <c r="B230" s="145"/>
      <c r="C230" s="86"/>
      <c r="D230" s="86"/>
    </row>
    <row r="231" customFormat="false" ht="13" hidden="false" customHeight="false" outlineLevel="0" collapsed="false">
      <c r="B231" s="145"/>
      <c r="C231" s="86"/>
      <c r="D231" s="86"/>
    </row>
    <row r="232" customFormat="false" ht="13" hidden="false" customHeight="false" outlineLevel="0" collapsed="false">
      <c r="B232" s="145"/>
      <c r="C232" s="86"/>
      <c r="D232" s="86"/>
    </row>
    <row r="233" customFormat="false" ht="13" hidden="false" customHeight="false" outlineLevel="0" collapsed="false">
      <c r="B233" s="145"/>
      <c r="C233" s="86"/>
      <c r="D233" s="86"/>
    </row>
    <row r="234" customFormat="false" ht="13" hidden="false" customHeight="false" outlineLevel="0" collapsed="false">
      <c r="B234" s="145"/>
      <c r="C234" s="86"/>
      <c r="D234" s="86"/>
    </row>
    <row r="235" customFormat="false" ht="13" hidden="false" customHeight="false" outlineLevel="0" collapsed="false">
      <c r="B235" s="145"/>
      <c r="C235" s="86"/>
      <c r="D235" s="86"/>
    </row>
    <row r="236" customFormat="false" ht="13" hidden="false" customHeight="false" outlineLevel="0" collapsed="false">
      <c r="B236" s="145"/>
      <c r="C236" s="86"/>
      <c r="D236" s="86"/>
    </row>
    <row r="237" customFormat="false" ht="13" hidden="false" customHeight="false" outlineLevel="0" collapsed="false">
      <c r="B237" s="145"/>
      <c r="C237" s="86"/>
      <c r="D237" s="86"/>
    </row>
    <row r="238" customFormat="false" ht="13" hidden="false" customHeight="false" outlineLevel="0" collapsed="false">
      <c r="B238" s="145"/>
      <c r="C238" s="86"/>
      <c r="D238" s="86"/>
    </row>
    <row r="239" customFormat="false" ht="13" hidden="false" customHeight="false" outlineLevel="0" collapsed="false">
      <c r="B239" s="145"/>
      <c r="C239" s="86"/>
      <c r="D239" s="86"/>
    </row>
    <row r="240" customFormat="false" ht="13" hidden="false" customHeight="false" outlineLevel="0" collapsed="false">
      <c r="B240" s="145"/>
      <c r="C240" s="86"/>
      <c r="D240" s="86"/>
    </row>
    <row r="241" customFormat="false" ht="13" hidden="false" customHeight="false" outlineLevel="0" collapsed="false">
      <c r="B241" s="145"/>
      <c r="C241" s="86"/>
      <c r="D241" s="86"/>
    </row>
    <row r="242" customFormat="false" ht="13" hidden="false" customHeight="false" outlineLevel="0" collapsed="false">
      <c r="B242" s="145"/>
      <c r="C242" s="86"/>
      <c r="D242" s="86"/>
    </row>
    <row r="243" customFormat="false" ht="13" hidden="false" customHeight="false" outlineLevel="0" collapsed="false">
      <c r="B243" s="145"/>
      <c r="C243" s="86"/>
      <c r="D243" s="86"/>
    </row>
    <row r="244" customFormat="false" ht="13" hidden="false" customHeight="false" outlineLevel="0" collapsed="false">
      <c r="B244" s="145"/>
      <c r="C244" s="86"/>
      <c r="D244" s="86"/>
    </row>
    <row r="245" customFormat="false" ht="13" hidden="false" customHeight="false" outlineLevel="0" collapsed="false">
      <c r="B245" s="145"/>
      <c r="C245" s="86"/>
      <c r="D245" s="86"/>
    </row>
    <row r="246" customFormat="false" ht="13" hidden="false" customHeight="false" outlineLevel="0" collapsed="false">
      <c r="B246" s="145"/>
      <c r="C246" s="86"/>
      <c r="D246" s="86"/>
    </row>
    <row r="247" customFormat="false" ht="13" hidden="false" customHeight="false" outlineLevel="0" collapsed="false">
      <c r="B247" s="145"/>
      <c r="C247" s="86"/>
      <c r="D247" s="86"/>
    </row>
    <row r="248" customFormat="false" ht="13" hidden="false" customHeight="false" outlineLevel="0" collapsed="false">
      <c r="B248" s="145"/>
      <c r="C248" s="86"/>
      <c r="D248" s="86"/>
    </row>
    <row r="249" customFormat="false" ht="13" hidden="false" customHeight="false" outlineLevel="0" collapsed="false">
      <c r="B249" s="145"/>
      <c r="C249" s="86"/>
      <c r="D249" s="86"/>
    </row>
    <row r="250" customFormat="false" ht="13" hidden="false" customHeight="false" outlineLevel="0" collapsed="false">
      <c r="B250" s="145"/>
      <c r="C250" s="86"/>
      <c r="D250" s="86"/>
    </row>
    <row r="251" customFormat="false" ht="13" hidden="false" customHeight="false" outlineLevel="0" collapsed="false">
      <c r="B251" s="145"/>
      <c r="C251" s="86"/>
      <c r="D251" s="86"/>
    </row>
    <row r="252" customFormat="false" ht="13" hidden="false" customHeight="false" outlineLevel="0" collapsed="false">
      <c r="B252" s="145"/>
      <c r="C252" s="86"/>
      <c r="D252" s="86"/>
    </row>
    <row r="253" customFormat="false" ht="13" hidden="false" customHeight="false" outlineLevel="0" collapsed="false">
      <c r="B253" s="145"/>
      <c r="C253" s="86"/>
      <c r="D253" s="86"/>
    </row>
    <row r="254" customFormat="false" ht="13" hidden="false" customHeight="false" outlineLevel="0" collapsed="false">
      <c r="B254" s="145"/>
      <c r="C254" s="86"/>
      <c r="D254" s="86"/>
    </row>
    <row r="255" customFormat="false" ht="13" hidden="false" customHeight="false" outlineLevel="0" collapsed="false">
      <c r="B255" s="145"/>
      <c r="C255" s="86"/>
      <c r="D255" s="86"/>
    </row>
    <row r="256" customFormat="false" ht="13" hidden="false" customHeight="false" outlineLevel="0" collapsed="false">
      <c r="B256" s="145"/>
      <c r="C256" s="86"/>
      <c r="D256" s="86"/>
    </row>
    <row r="257" customFormat="false" ht="13" hidden="false" customHeight="false" outlineLevel="0" collapsed="false">
      <c r="B257" s="145"/>
      <c r="C257" s="86"/>
      <c r="D257" s="86"/>
    </row>
    <row r="258" customFormat="false" ht="13" hidden="false" customHeight="false" outlineLevel="0" collapsed="false">
      <c r="B258" s="145"/>
      <c r="C258" s="86"/>
      <c r="D258" s="86"/>
    </row>
    <row r="259" customFormat="false" ht="13" hidden="false" customHeight="false" outlineLevel="0" collapsed="false">
      <c r="B259" s="145"/>
      <c r="C259" s="86"/>
      <c r="D259" s="86"/>
    </row>
    <row r="260" customFormat="false" ht="13" hidden="false" customHeight="false" outlineLevel="0" collapsed="false">
      <c r="B260" s="145"/>
      <c r="C260" s="86"/>
      <c r="D260" s="86"/>
    </row>
    <row r="261" customFormat="false" ht="13" hidden="false" customHeight="false" outlineLevel="0" collapsed="false">
      <c r="B261" s="145"/>
      <c r="C261" s="86"/>
      <c r="D261" s="86"/>
    </row>
    <row r="262" customFormat="false" ht="13" hidden="false" customHeight="false" outlineLevel="0" collapsed="false">
      <c r="B262" s="145"/>
      <c r="C262" s="86"/>
      <c r="D262" s="86"/>
    </row>
    <row r="263" customFormat="false" ht="13" hidden="false" customHeight="false" outlineLevel="0" collapsed="false">
      <c r="B263" s="145"/>
      <c r="C263" s="86"/>
      <c r="D263" s="86"/>
    </row>
    <row r="264" customFormat="false" ht="13" hidden="false" customHeight="false" outlineLevel="0" collapsed="false">
      <c r="B264" s="145"/>
      <c r="C264" s="86"/>
      <c r="D264" s="86"/>
    </row>
    <row r="265" customFormat="false" ht="13" hidden="false" customHeight="false" outlineLevel="0" collapsed="false">
      <c r="B265" s="145"/>
      <c r="C265" s="86"/>
      <c r="D265" s="86"/>
    </row>
    <row r="266" customFormat="false" ht="13" hidden="false" customHeight="false" outlineLevel="0" collapsed="false">
      <c r="B266" s="145"/>
      <c r="C266" s="86"/>
      <c r="D266" s="86"/>
    </row>
    <row r="267" customFormat="false" ht="13" hidden="false" customHeight="false" outlineLevel="0" collapsed="false">
      <c r="B267" s="145"/>
      <c r="C267" s="86"/>
      <c r="D267" s="86"/>
    </row>
    <row r="268" customFormat="false" ht="13" hidden="false" customHeight="false" outlineLevel="0" collapsed="false">
      <c r="B268" s="145"/>
      <c r="C268" s="86"/>
      <c r="D268" s="86"/>
    </row>
    <row r="269" customFormat="false" ht="13" hidden="false" customHeight="false" outlineLevel="0" collapsed="false">
      <c r="B269" s="145"/>
      <c r="C269" s="86"/>
      <c r="D269" s="86"/>
    </row>
    <row r="270" customFormat="false" ht="13" hidden="false" customHeight="false" outlineLevel="0" collapsed="false">
      <c r="B270" s="145"/>
      <c r="C270" s="86"/>
      <c r="D270" s="86"/>
    </row>
    <row r="271" customFormat="false" ht="13" hidden="false" customHeight="false" outlineLevel="0" collapsed="false">
      <c r="B271" s="145"/>
      <c r="C271" s="86"/>
      <c r="D271" s="86"/>
    </row>
    <row r="272" customFormat="false" ht="13" hidden="false" customHeight="false" outlineLevel="0" collapsed="false">
      <c r="B272" s="145"/>
      <c r="C272" s="86"/>
      <c r="D272" s="86"/>
    </row>
    <row r="273" customFormat="false" ht="13" hidden="false" customHeight="false" outlineLevel="0" collapsed="false">
      <c r="B273" s="145"/>
      <c r="C273" s="86"/>
      <c r="D273" s="86"/>
    </row>
    <row r="274" customFormat="false" ht="13" hidden="false" customHeight="false" outlineLevel="0" collapsed="false">
      <c r="B274" s="145"/>
      <c r="C274" s="86"/>
      <c r="D274" s="86"/>
    </row>
    <row r="275" customFormat="false" ht="13" hidden="false" customHeight="false" outlineLevel="0" collapsed="false">
      <c r="B275" s="145"/>
      <c r="C275" s="86"/>
      <c r="D275" s="86"/>
    </row>
    <row r="276" customFormat="false" ht="13" hidden="false" customHeight="false" outlineLevel="0" collapsed="false">
      <c r="B276" s="145"/>
      <c r="C276" s="86"/>
      <c r="D276" s="86"/>
    </row>
    <row r="277" customFormat="false" ht="13" hidden="false" customHeight="false" outlineLevel="0" collapsed="false">
      <c r="B277" s="145"/>
      <c r="C277" s="86"/>
      <c r="D277" s="86"/>
    </row>
    <row r="278" customFormat="false" ht="13" hidden="false" customHeight="false" outlineLevel="0" collapsed="false">
      <c r="B278" s="145"/>
      <c r="C278" s="86"/>
      <c r="D278" s="86"/>
    </row>
    <row r="279" customFormat="false" ht="13" hidden="false" customHeight="false" outlineLevel="0" collapsed="false">
      <c r="B279" s="145"/>
      <c r="C279" s="86"/>
      <c r="D279" s="86"/>
    </row>
    <row r="280" customFormat="false" ht="13" hidden="false" customHeight="false" outlineLevel="0" collapsed="false">
      <c r="B280" s="145"/>
      <c r="C280" s="86"/>
      <c r="D280" s="86"/>
    </row>
    <row r="281" customFormat="false" ht="13" hidden="false" customHeight="false" outlineLevel="0" collapsed="false">
      <c r="B281" s="145"/>
      <c r="C281" s="86"/>
      <c r="D281" s="86"/>
    </row>
    <row r="282" customFormat="false" ht="13" hidden="false" customHeight="false" outlineLevel="0" collapsed="false">
      <c r="B282" s="145"/>
      <c r="C282" s="86"/>
      <c r="D282" s="86"/>
    </row>
    <row r="283" customFormat="false" ht="13" hidden="false" customHeight="false" outlineLevel="0" collapsed="false">
      <c r="B283" s="145"/>
      <c r="C283" s="86"/>
      <c r="D283" s="86"/>
    </row>
    <row r="284" customFormat="false" ht="13" hidden="false" customHeight="false" outlineLevel="0" collapsed="false">
      <c r="B284" s="145"/>
      <c r="C284" s="86"/>
      <c r="D284" s="86"/>
    </row>
    <row r="285" customFormat="false" ht="13" hidden="false" customHeight="false" outlineLevel="0" collapsed="false">
      <c r="B285" s="145"/>
      <c r="C285" s="86"/>
      <c r="D285" s="86"/>
    </row>
    <row r="286" customFormat="false" ht="13" hidden="false" customHeight="false" outlineLevel="0" collapsed="false">
      <c r="B286" s="145"/>
      <c r="C286" s="86"/>
      <c r="D286" s="86"/>
    </row>
    <row r="287" customFormat="false" ht="13" hidden="false" customHeight="false" outlineLevel="0" collapsed="false">
      <c r="B287" s="145"/>
      <c r="C287" s="86"/>
      <c r="D287" s="86"/>
    </row>
    <row r="288" customFormat="false" ht="13" hidden="false" customHeight="false" outlineLevel="0" collapsed="false">
      <c r="B288" s="145"/>
      <c r="C288" s="86"/>
      <c r="D288" s="86"/>
    </row>
    <row r="289" customFormat="false" ht="13" hidden="false" customHeight="false" outlineLevel="0" collapsed="false">
      <c r="B289" s="145"/>
      <c r="C289" s="86"/>
      <c r="D289" s="86"/>
    </row>
    <row r="290" customFormat="false" ht="13" hidden="false" customHeight="false" outlineLevel="0" collapsed="false">
      <c r="B290" s="145"/>
      <c r="C290" s="86"/>
      <c r="D290" s="86"/>
    </row>
    <row r="291" customFormat="false" ht="13" hidden="false" customHeight="false" outlineLevel="0" collapsed="false">
      <c r="B291" s="145"/>
      <c r="C291" s="86"/>
      <c r="D291" s="86"/>
    </row>
    <row r="292" customFormat="false" ht="13" hidden="false" customHeight="false" outlineLevel="0" collapsed="false">
      <c r="B292" s="145"/>
      <c r="C292" s="86"/>
      <c r="D292" s="86"/>
    </row>
    <row r="293" customFormat="false" ht="13" hidden="false" customHeight="false" outlineLevel="0" collapsed="false">
      <c r="B293" s="145"/>
      <c r="C293" s="86"/>
      <c r="D293" s="86"/>
    </row>
    <row r="294" customFormat="false" ht="13" hidden="false" customHeight="false" outlineLevel="0" collapsed="false">
      <c r="B294" s="145"/>
      <c r="C294" s="86"/>
      <c r="D294" s="86"/>
    </row>
    <row r="295" customFormat="false" ht="13" hidden="false" customHeight="false" outlineLevel="0" collapsed="false">
      <c r="B295" s="145"/>
      <c r="C295" s="86"/>
      <c r="D295" s="86"/>
    </row>
    <row r="296" customFormat="false" ht="13" hidden="false" customHeight="false" outlineLevel="0" collapsed="false">
      <c r="B296" s="145"/>
      <c r="C296" s="86"/>
      <c r="D296" s="86"/>
    </row>
    <row r="297" customFormat="false" ht="13" hidden="false" customHeight="false" outlineLevel="0" collapsed="false">
      <c r="B297" s="145"/>
      <c r="C297" s="86"/>
      <c r="D297" s="86"/>
    </row>
    <row r="298" customFormat="false" ht="13" hidden="false" customHeight="false" outlineLevel="0" collapsed="false">
      <c r="B298" s="145"/>
      <c r="C298" s="86"/>
      <c r="D298" s="86"/>
    </row>
    <row r="299" customFormat="false" ht="13" hidden="false" customHeight="false" outlineLevel="0" collapsed="false">
      <c r="B299" s="145"/>
      <c r="C299" s="86"/>
      <c r="D299" s="86"/>
    </row>
    <row r="300" customFormat="false" ht="13" hidden="false" customHeight="false" outlineLevel="0" collapsed="false">
      <c r="B300" s="145"/>
      <c r="C300" s="86"/>
      <c r="D300" s="86"/>
    </row>
    <row r="301" customFormat="false" ht="13" hidden="false" customHeight="false" outlineLevel="0" collapsed="false">
      <c r="B301" s="145"/>
      <c r="C301" s="86"/>
      <c r="D301" s="86"/>
    </row>
    <row r="302" customFormat="false" ht="13" hidden="false" customHeight="false" outlineLevel="0" collapsed="false">
      <c r="B302" s="145"/>
      <c r="C302" s="86"/>
      <c r="D302" s="86"/>
    </row>
    <row r="303" customFormat="false" ht="13" hidden="false" customHeight="false" outlineLevel="0" collapsed="false">
      <c r="B303" s="145"/>
      <c r="C303" s="86"/>
      <c r="D303" s="86"/>
    </row>
    <row r="304" customFormat="false" ht="13" hidden="false" customHeight="false" outlineLevel="0" collapsed="false">
      <c r="B304" s="145"/>
      <c r="C304" s="86"/>
      <c r="D304" s="86"/>
    </row>
    <row r="305" customFormat="false" ht="13" hidden="false" customHeight="false" outlineLevel="0" collapsed="false">
      <c r="B305" s="145"/>
      <c r="C305" s="86"/>
      <c r="D305" s="86"/>
    </row>
    <row r="306" customFormat="false" ht="13" hidden="false" customHeight="false" outlineLevel="0" collapsed="false">
      <c r="B306" s="145"/>
      <c r="C306" s="86"/>
      <c r="D306" s="86"/>
    </row>
    <row r="307" customFormat="false" ht="13" hidden="false" customHeight="false" outlineLevel="0" collapsed="false">
      <c r="B307" s="145"/>
      <c r="C307" s="86"/>
      <c r="D307" s="86"/>
    </row>
    <row r="308" customFormat="false" ht="13" hidden="false" customHeight="false" outlineLevel="0" collapsed="false">
      <c r="B308" s="145"/>
      <c r="C308" s="86"/>
      <c r="D308" s="86"/>
    </row>
    <row r="309" customFormat="false" ht="13" hidden="false" customHeight="false" outlineLevel="0" collapsed="false">
      <c r="B309" s="145"/>
      <c r="C309" s="86"/>
      <c r="D309" s="86"/>
    </row>
    <row r="310" customFormat="false" ht="13" hidden="false" customHeight="false" outlineLevel="0" collapsed="false">
      <c r="B310" s="145"/>
      <c r="C310" s="86"/>
      <c r="D310" s="86"/>
    </row>
    <row r="311" customFormat="false" ht="13" hidden="false" customHeight="false" outlineLevel="0" collapsed="false">
      <c r="B311" s="145"/>
      <c r="C311" s="86"/>
      <c r="D311" s="86"/>
    </row>
    <row r="312" customFormat="false" ht="13" hidden="false" customHeight="false" outlineLevel="0" collapsed="false">
      <c r="B312" s="145"/>
      <c r="C312" s="86"/>
      <c r="D312" s="86"/>
    </row>
    <row r="313" customFormat="false" ht="13" hidden="false" customHeight="false" outlineLevel="0" collapsed="false">
      <c r="B313" s="145"/>
      <c r="C313" s="86"/>
      <c r="D313" s="86"/>
    </row>
    <row r="314" customFormat="false" ht="13" hidden="false" customHeight="false" outlineLevel="0" collapsed="false">
      <c r="B314" s="145"/>
      <c r="C314" s="86"/>
      <c r="D314" s="86"/>
    </row>
    <row r="315" customFormat="false" ht="13" hidden="false" customHeight="false" outlineLevel="0" collapsed="false">
      <c r="B315" s="145"/>
      <c r="C315" s="86"/>
      <c r="D315" s="86"/>
    </row>
    <row r="316" customFormat="false" ht="13" hidden="false" customHeight="false" outlineLevel="0" collapsed="false">
      <c r="B316" s="145"/>
      <c r="C316" s="86"/>
      <c r="D316" s="86"/>
    </row>
    <row r="317" customFormat="false" ht="13" hidden="false" customHeight="false" outlineLevel="0" collapsed="false">
      <c r="B317" s="145"/>
      <c r="C317" s="86"/>
      <c r="D317" s="86"/>
    </row>
    <row r="318" customFormat="false" ht="13" hidden="false" customHeight="false" outlineLevel="0" collapsed="false">
      <c r="B318" s="145"/>
      <c r="C318" s="86"/>
      <c r="D318" s="86"/>
    </row>
    <row r="319" customFormat="false" ht="13" hidden="false" customHeight="false" outlineLevel="0" collapsed="false">
      <c r="B319" s="145"/>
      <c r="C319" s="86"/>
      <c r="D319" s="86"/>
    </row>
    <row r="320" customFormat="false" ht="13" hidden="false" customHeight="false" outlineLevel="0" collapsed="false">
      <c r="B320" s="145"/>
      <c r="C320" s="86"/>
      <c r="D320" s="86"/>
    </row>
    <row r="321" customFormat="false" ht="13" hidden="false" customHeight="false" outlineLevel="0" collapsed="false">
      <c r="B321" s="145"/>
      <c r="C321" s="86"/>
      <c r="D321" s="86"/>
    </row>
    <row r="322" customFormat="false" ht="13" hidden="false" customHeight="false" outlineLevel="0" collapsed="false">
      <c r="B322" s="145"/>
      <c r="C322" s="86"/>
      <c r="D322" s="86"/>
    </row>
    <row r="323" customFormat="false" ht="13" hidden="false" customHeight="false" outlineLevel="0" collapsed="false">
      <c r="B323" s="145"/>
      <c r="C323" s="86"/>
      <c r="D323" s="86"/>
    </row>
    <row r="324" customFormat="false" ht="13" hidden="false" customHeight="false" outlineLevel="0" collapsed="false">
      <c r="B324" s="145"/>
      <c r="C324" s="86"/>
      <c r="D324" s="86"/>
    </row>
    <row r="325" customFormat="false" ht="13" hidden="false" customHeight="false" outlineLevel="0" collapsed="false">
      <c r="B325" s="145"/>
      <c r="C325" s="86"/>
      <c r="D325" s="86"/>
    </row>
    <row r="326" customFormat="false" ht="13" hidden="false" customHeight="false" outlineLevel="0" collapsed="false">
      <c r="B326" s="145"/>
      <c r="C326" s="86"/>
      <c r="D326" s="86"/>
    </row>
    <row r="327" customFormat="false" ht="13" hidden="false" customHeight="false" outlineLevel="0" collapsed="false">
      <c r="B327" s="145"/>
      <c r="C327" s="86"/>
      <c r="D327" s="86"/>
    </row>
    <row r="328" customFormat="false" ht="13" hidden="false" customHeight="false" outlineLevel="0" collapsed="false">
      <c r="B328" s="145"/>
      <c r="C328" s="86"/>
      <c r="D328" s="86"/>
    </row>
    <row r="329" customFormat="false" ht="13" hidden="false" customHeight="false" outlineLevel="0" collapsed="false">
      <c r="B329" s="145"/>
      <c r="C329" s="86"/>
      <c r="D329" s="86"/>
    </row>
    <row r="330" customFormat="false" ht="13" hidden="false" customHeight="false" outlineLevel="0" collapsed="false">
      <c r="B330" s="145"/>
      <c r="C330" s="86"/>
      <c r="D330" s="86"/>
    </row>
    <row r="331" customFormat="false" ht="13" hidden="false" customHeight="false" outlineLevel="0" collapsed="false">
      <c r="B331" s="145"/>
      <c r="C331" s="86"/>
      <c r="D331" s="86"/>
    </row>
    <row r="332" customFormat="false" ht="13" hidden="false" customHeight="false" outlineLevel="0" collapsed="false">
      <c r="B332" s="145"/>
      <c r="C332" s="86"/>
      <c r="D332" s="86"/>
    </row>
    <row r="333" customFormat="false" ht="13" hidden="false" customHeight="false" outlineLevel="0" collapsed="false">
      <c r="B333" s="145"/>
      <c r="C333" s="86"/>
      <c r="D333" s="86"/>
    </row>
    <row r="334" customFormat="false" ht="13" hidden="false" customHeight="false" outlineLevel="0" collapsed="false">
      <c r="B334" s="145"/>
      <c r="C334" s="86"/>
      <c r="D334" s="86"/>
    </row>
    <row r="335" customFormat="false" ht="13" hidden="false" customHeight="false" outlineLevel="0" collapsed="false">
      <c r="B335" s="145"/>
      <c r="C335" s="86"/>
      <c r="D335" s="86"/>
    </row>
    <row r="336" customFormat="false" ht="13" hidden="false" customHeight="false" outlineLevel="0" collapsed="false">
      <c r="B336" s="145"/>
      <c r="C336" s="86"/>
      <c r="D336" s="86"/>
    </row>
    <row r="337" customFormat="false" ht="13" hidden="false" customHeight="false" outlineLevel="0" collapsed="false">
      <c r="B337" s="145"/>
      <c r="C337" s="86"/>
      <c r="D337" s="86"/>
    </row>
    <row r="338" customFormat="false" ht="13" hidden="false" customHeight="false" outlineLevel="0" collapsed="false">
      <c r="B338" s="145"/>
      <c r="C338" s="86"/>
      <c r="D338" s="86"/>
    </row>
    <row r="339" customFormat="false" ht="13" hidden="false" customHeight="false" outlineLevel="0" collapsed="false">
      <c r="B339" s="145"/>
      <c r="C339" s="86"/>
      <c r="D339" s="86"/>
    </row>
    <row r="340" customFormat="false" ht="13" hidden="false" customHeight="false" outlineLevel="0" collapsed="false">
      <c r="B340" s="145"/>
      <c r="C340" s="86"/>
      <c r="D340" s="86"/>
    </row>
    <row r="341" customFormat="false" ht="13" hidden="false" customHeight="false" outlineLevel="0" collapsed="false">
      <c r="B341" s="145"/>
      <c r="C341" s="86"/>
      <c r="D341" s="86"/>
    </row>
    <row r="342" customFormat="false" ht="13" hidden="false" customHeight="false" outlineLevel="0" collapsed="false">
      <c r="B342" s="145"/>
      <c r="C342" s="86"/>
      <c r="D342" s="86"/>
    </row>
    <row r="343" customFormat="false" ht="13" hidden="false" customHeight="false" outlineLevel="0" collapsed="false">
      <c r="B343" s="145"/>
      <c r="C343" s="86"/>
      <c r="D343" s="86"/>
    </row>
    <row r="344" customFormat="false" ht="13" hidden="false" customHeight="false" outlineLevel="0" collapsed="false">
      <c r="B344" s="145"/>
      <c r="C344" s="86"/>
      <c r="D344" s="86"/>
    </row>
    <row r="345" customFormat="false" ht="13" hidden="false" customHeight="false" outlineLevel="0" collapsed="false">
      <c r="B345" s="145"/>
      <c r="C345" s="86"/>
      <c r="D345" s="86"/>
    </row>
    <row r="346" customFormat="false" ht="13" hidden="false" customHeight="false" outlineLevel="0" collapsed="false">
      <c r="B346" s="145"/>
      <c r="C346" s="86"/>
      <c r="D346" s="86"/>
    </row>
    <row r="347" customFormat="false" ht="13" hidden="false" customHeight="false" outlineLevel="0" collapsed="false">
      <c r="B347" s="145"/>
      <c r="C347" s="86"/>
      <c r="D347" s="86"/>
    </row>
    <row r="348" customFormat="false" ht="13" hidden="false" customHeight="false" outlineLevel="0" collapsed="false">
      <c r="B348" s="145"/>
      <c r="C348" s="86"/>
      <c r="D348" s="86"/>
    </row>
    <row r="349" customFormat="false" ht="13" hidden="false" customHeight="false" outlineLevel="0" collapsed="false">
      <c r="B349" s="145"/>
      <c r="C349" s="86"/>
      <c r="D349" s="86"/>
    </row>
    <row r="350" customFormat="false" ht="13" hidden="false" customHeight="false" outlineLevel="0" collapsed="false">
      <c r="B350" s="145"/>
      <c r="C350" s="86"/>
      <c r="D350" s="86"/>
    </row>
    <row r="351" customFormat="false" ht="13" hidden="false" customHeight="false" outlineLevel="0" collapsed="false">
      <c r="B351" s="145"/>
      <c r="C351" s="86"/>
      <c r="D351" s="86"/>
    </row>
    <row r="352" customFormat="false" ht="13" hidden="false" customHeight="false" outlineLevel="0" collapsed="false">
      <c r="B352" s="145"/>
      <c r="C352" s="86"/>
      <c r="D352" s="86"/>
    </row>
    <row r="353" customFormat="false" ht="13" hidden="false" customHeight="false" outlineLevel="0" collapsed="false">
      <c r="B353" s="145"/>
      <c r="C353" s="86"/>
      <c r="D353" s="86"/>
    </row>
    <row r="354" customFormat="false" ht="13" hidden="false" customHeight="false" outlineLevel="0" collapsed="false">
      <c r="B354" s="145"/>
      <c r="C354" s="86"/>
      <c r="D354" s="86"/>
    </row>
    <row r="355" customFormat="false" ht="13" hidden="false" customHeight="false" outlineLevel="0" collapsed="false">
      <c r="B355" s="145"/>
      <c r="C355" s="86"/>
      <c r="D355" s="86"/>
    </row>
    <row r="356" customFormat="false" ht="13" hidden="false" customHeight="false" outlineLevel="0" collapsed="false">
      <c r="B356" s="145"/>
      <c r="C356" s="86"/>
      <c r="D356" s="86"/>
    </row>
    <row r="357" customFormat="false" ht="13" hidden="false" customHeight="false" outlineLevel="0" collapsed="false">
      <c r="B357" s="145"/>
      <c r="C357" s="86"/>
      <c r="D357" s="86"/>
    </row>
    <row r="358" customFormat="false" ht="13" hidden="false" customHeight="false" outlineLevel="0" collapsed="false">
      <c r="B358" s="145"/>
      <c r="C358" s="86"/>
      <c r="D358" s="86"/>
    </row>
    <row r="359" customFormat="false" ht="13" hidden="false" customHeight="false" outlineLevel="0" collapsed="false">
      <c r="B359" s="145"/>
      <c r="C359" s="86"/>
      <c r="D359" s="86"/>
    </row>
    <row r="360" customFormat="false" ht="13" hidden="false" customHeight="false" outlineLevel="0" collapsed="false">
      <c r="B360" s="145"/>
      <c r="C360" s="86"/>
      <c r="D360" s="86"/>
    </row>
    <row r="361" customFormat="false" ht="13" hidden="false" customHeight="false" outlineLevel="0" collapsed="false">
      <c r="B361" s="145"/>
      <c r="C361" s="86"/>
      <c r="D361" s="86"/>
    </row>
    <row r="362" customFormat="false" ht="13" hidden="false" customHeight="false" outlineLevel="0" collapsed="false">
      <c r="B362" s="145"/>
      <c r="C362" s="86"/>
      <c r="D362" s="86"/>
    </row>
    <row r="363" customFormat="false" ht="13" hidden="false" customHeight="false" outlineLevel="0" collapsed="false">
      <c r="B363" s="145"/>
      <c r="C363" s="86"/>
      <c r="D363" s="86"/>
    </row>
    <row r="364" customFormat="false" ht="13" hidden="false" customHeight="false" outlineLevel="0" collapsed="false">
      <c r="B364" s="145"/>
      <c r="C364" s="86"/>
      <c r="D364" s="86"/>
    </row>
    <row r="365" customFormat="false" ht="13" hidden="false" customHeight="false" outlineLevel="0" collapsed="false">
      <c r="B365" s="145"/>
      <c r="C365" s="86"/>
      <c r="D365" s="86"/>
    </row>
    <row r="366" customFormat="false" ht="13" hidden="false" customHeight="false" outlineLevel="0" collapsed="false">
      <c r="B366" s="145"/>
      <c r="C366" s="86"/>
      <c r="D366" s="86"/>
    </row>
    <row r="367" customFormat="false" ht="13" hidden="false" customHeight="false" outlineLevel="0" collapsed="false">
      <c r="B367" s="145"/>
      <c r="C367" s="86"/>
      <c r="D367" s="86"/>
    </row>
    <row r="368" customFormat="false" ht="13" hidden="false" customHeight="false" outlineLevel="0" collapsed="false">
      <c r="B368" s="145"/>
      <c r="C368" s="86"/>
      <c r="D368" s="86"/>
    </row>
    <row r="369" customFormat="false" ht="13" hidden="false" customHeight="false" outlineLevel="0" collapsed="false">
      <c r="B369" s="145"/>
      <c r="C369" s="86"/>
      <c r="D369" s="86"/>
    </row>
    <row r="370" customFormat="false" ht="13" hidden="false" customHeight="false" outlineLevel="0" collapsed="false">
      <c r="B370" s="145"/>
      <c r="C370" s="86"/>
      <c r="D370" s="86"/>
    </row>
    <row r="371" customFormat="false" ht="13" hidden="false" customHeight="false" outlineLevel="0" collapsed="false">
      <c r="B371" s="145"/>
      <c r="C371" s="86"/>
      <c r="D371" s="86"/>
    </row>
    <row r="372" customFormat="false" ht="13" hidden="false" customHeight="false" outlineLevel="0" collapsed="false">
      <c r="B372" s="145"/>
      <c r="C372" s="86"/>
      <c r="D372" s="86"/>
    </row>
    <row r="373" customFormat="false" ht="13" hidden="false" customHeight="false" outlineLevel="0" collapsed="false">
      <c r="B373" s="145"/>
      <c r="C373" s="86"/>
      <c r="D373" s="86"/>
    </row>
    <row r="374" customFormat="false" ht="13" hidden="false" customHeight="false" outlineLevel="0" collapsed="false">
      <c r="B374" s="145"/>
      <c r="C374" s="86"/>
      <c r="D374" s="86"/>
    </row>
    <row r="375" customFormat="false" ht="13" hidden="false" customHeight="false" outlineLevel="0" collapsed="false">
      <c r="B375" s="145"/>
      <c r="C375" s="86"/>
      <c r="D375" s="86"/>
    </row>
    <row r="376" customFormat="false" ht="13" hidden="false" customHeight="false" outlineLevel="0" collapsed="false">
      <c r="B376" s="145"/>
      <c r="C376" s="86"/>
      <c r="D376" s="86"/>
    </row>
    <row r="377" customFormat="false" ht="13" hidden="false" customHeight="false" outlineLevel="0" collapsed="false">
      <c r="B377" s="145"/>
      <c r="C377" s="86"/>
      <c r="D377" s="86"/>
    </row>
    <row r="378" customFormat="false" ht="13" hidden="false" customHeight="false" outlineLevel="0" collapsed="false">
      <c r="B378" s="145"/>
      <c r="C378" s="86"/>
      <c r="D378" s="86"/>
    </row>
    <row r="379" customFormat="false" ht="13" hidden="false" customHeight="false" outlineLevel="0" collapsed="false">
      <c r="B379" s="145"/>
      <c r="C379" s="86"/>
      <c r="D379" s="86"/>
    </row>
    <row r="380" customFormat="false" ht="13" hidden="false" customHeight="false" outlineLevel="0" collapsed="false">
      <c r="B380" s="145"/>
      <c r="C380" s="86"/>
      <c r="D380" s="86"/>
    </row>
    <row r="381" customFormat="false" ht="13" hidden="false" customHeight="false" outlineLevel="0" collapsed="false">
      <c r="B381" s="145"/>
      <c r="C381" s="86"/>
      <c r="D381" s="86"/>
    </row>
    <row r="382" customFormat="false" ht="13" hidden="false" customHeight="false" outlineLevel="0" collapsed="false">
      <c r="B382" s="145"/>
      <c r="C382" s="86"/>
      <c r="D382" s="86"/>
    </row>
    <row r="383" customFormat="false" ht="13" hidden="false" customHeight="false" outlineLevel="0" collapsed="false">
      <c r="B383" s="145"/>
      <c r="C383" s="86"/>
      <c r="D383" s="86"/>
    </row>
    <row r="384" customFormat="false" ht="13" hidden="false" customHeight="false" outlineLevel="0" collapsed="false">
      <c r="B384" s="145"/>
      <c r="C384" s="86"/>
      <c r="D384" s="86"/>
    </row>
    <row r="385" customFormat="false" ht="13" hidden="false" customHeight="false" outlineLevel="0" collapsed="false">
      <c r="B385" s="145"/>
      <c r="C385" s="86"/>
      <c r="D385" s="86"/>
    </row>
    <row r="386" customFormat="false" ht="13" hidden="false" customHeight="false" outlineLevel="0" collapsed="false">
      <c r="B386" s="145"/>
      <c r="C386" s="86"/>
      <c r="D386" s="86"/>
    </row>
    <row r="387" customFormat="false" ht="13" hidden="false" customHeight="false" outlineLevel="0" collapsed="false">
      <c r="B387" s="145"/>
      <c r="C387" s="86"/>
      <c r="D387" s="86"/>
    </row>
    <row r="388" customFormat="false" ht="13" hidden="false" customHeight="false" outlineLevel="0" collapsed="false">
      <c r="B388" s="145"/>
      <c r="C388" s="86"/>
      <c r="D388" s="86"/>
    </row>
    <row r="389" customFormat="false" ht="13" hidden="false" customHeight="false" outlineLevel="0" collapsed="false">
      <c r="B389" s="145"/>
      <c r="C389" s="86"/>
      <c r="D389" s="86"/>
    </row>
    <row r="390" customFormat="false" ht="13" hidden="false" customHeight="false" outlineLevel="0" collapsed="false">
      <c r="B390" s="145"/>
      <c r="C390" s="86"/>
      <c r="D390" s="86"/>
    </row>
    <row r="391" customFormat="false" ht="13" hidden="false" customHeight="false" outlineLevel="0" collapsed="false">
      <c r="B391" s="145"/>
      <c r="C391" s="86"/>
      <c r="D391" s="86"/>
    </row>
    <row r="392" customFormat="false" ht="13" hidden="false" customHeight="false" outlineLevel="0" collapsed="false">
      <c r="B392" s="145"/>
      <c r="C392" s="86"/>
      <c r="D392" s="86"/>
    </row>
    <row r="393" customFormat="false" ht="13" hidden="false" customHeight="false" outlineLevel="0" collapsed="false">
      <c r="B393" s="145"/>
      <c r="C393" s="86"/>
      <c r="D393" s="86"/>
    </row>
    <row r="394" customFormat="false" ht="13" hidden="false" customHeight="false" outlineLevel="0" collapsed="false">
      <c r="B394" s="145"/>
      <c r="C394" s="86"/>
      <c r="D394" s="86"/>
    </row>
    <row r="395" customFormat="false" ht="13" hidden="false" customHeight="false" outlineLevel="0" collapsed="false">
      <c r="B395" s="145"/>
      <c r="C395" s="86"/>
      <c r="D395" s="86"/>
    </row>
    <row r="396" customFormat="false" ht="13" hidden="false" customHeight="false" outlineLevel="0" collapsed="false">
      <c r="B396" s="145"/>
      <c r="C396" s="86"/>
      <c r="D396" s="86"/>
    </row>
    <row r="397" customFormat="false" ht="13" hidden="false" customHeight="false" outlineLevel="0" collapsed="false">
      <c r="B397" s="145"/>
      <c r="C397" s="86"/>
      <c r="D397" s="86"/>
    </row>
    <row r="398" customFormat="false" ht="13" hidden="false" customHeight="false" outlineLevel="0" collapsed="false">
      <c r="B398" s="145"/>
      <c r="C398" s="86"/>
      <c r="D398" s="86"/>
    </row>
    <row r="399" customFormat="false" ht="13" hidden="false" customHeight="false" outlineLevel="0" collapsed="false">
      <c r="B399" s="145"/>
      <c r="C399" s="86"/>
      <c r="D399" s="86"/>
    </row>
    <row r="400" customFormat="false" ht="13" hidden="false" customHeight="false" outlineLevel="0" collapsed="false">
      <c r="B400" s="145"/>
      <c r="C400" s="86"/>
      <c r="D400" s="86"/>
    </row>
    <row r="401" customFormat="false" ht="13" hidden="false" customHeight="false" outlineLevel="0" collapsed="false">
      <c r="B401" s="145"/>
      <c r="C401" s="86"/>
      <c r="D401" s="86"/>
    </row>
    <row r="402" customFormat="false" ht="13" hidden="false" customHeight="false" outlineLevel="0" collapsed="false">
      <c r="B402" s="145"/>
      <c r="C402" s="86"/>
      <c r="D402" s="86"/>
    </row>
    <row r="403" customFormat="false" ht="13" hidden="false" customHeight="false" outlineLevel="0" collapsed="false">
      <c r="B403" s="145"/>
      <c r="C403" s="86"/>
      <c r="D403" s="86"/>
    </row>
    <row r="404" customFormat="false" ht="13" hidden="false" customHeight="false" outlineLevel="0" collapsed="false">
      <c r="B404" s="145"/>
      <c r="C404" s="86"/>
      <c r="D404" s="86"/>
    </row>
    <row r="405" customFormat="false" ht="13" hidden="false" customHeight="false" outlineLevel="0" collapsed="false">
      <c r="B405" s="145"/>
      <c r="C405" s="86"/>
      <c r="D405" s="86"/>
    </row>
    <row r="406" customFormat="false" ht="13" hidden="false" customHeight="false" outlineLevel="0" collapsed="false">
      <c r="B406" s="145"/>
      <c r="C406" s="86"/>
      <c r="D406" s="86"/>
    </row>
    <row r="407" customFormat="false" ht="13" hidden="false" customHeight="false" outlineLevel="0" collapsed="false">
      <c r="B407" s="145"/>
      <c r="C407" s="86"/>
      <c r="D407" s="86"/>
    </row>
    <row r="408" customFormat="false" ht="13" hidden="false" customHeight="false" outlineLevel="0" collapsed="false">
      <c r="B408" s="145"/>
      <c r="C408" s="86"/>
      <c r="D408" s="86"/>
    </row>
    <row r="409" customFormat="false" ht="13" hidden="false" customHeight="false" outlineLevel="0" collapsed="false">
      <c r="B409" s="145"/>
      <c r="C409" s="86"/>
      <c r="D409" s="86"/>
    </row>
    <row r="410" customFormat="false" ht="13" hidden="false" customHeight="false" outlineLevel="0" collapsed="false">
      <c r="B410" s="145"/>
      <c r="C410" s="86"/>
      <c r="D410" s="86"/>
    </row>
    <row r="411" customFormat="false" ht="13" hidden="false" customHeight="false" outlineLevel="0" collapsed="false">
      <c r="B411" s="145"/>
      <c r="C411" s="86"/>
      <c r="D411" s="86"/>
    </row>
    <row r="412" customFormat="false" ht="13" hidden="false" customHeight="false" outlineLevel="0" collapsed="false">
      <c r="B412" s="145"/>
      <c r="C412" s="86"/>
      <c r="D412" s="86"/>
    </row>
    <row r="413" customFormat="false" ht="13" hidden="false" customHeight="false" outlineLevel="0" collapsed="false">
      <c r="B413" s="145"/>
      <c r="C413" s="86"/>
      <c r="D413" s="86"/>
    </row>
    <row r="414" customFormat="false" ht="13" hidden="false" customHeight="false" outlineLevel="0" collapsed="false">
      <c r="B414" s="145"/>
      <c r="C414" s="86"/>
      <c r="D414" s="86"/>
    </row>
    <row r="415" customFormat="false" ht="13" hidden="false" customHeight="false" outlineLevel="0" collapsed="false">
      <c r="B415" s="145"/>
      <c r="C415" s="86"/>
      <c r="D415" s="86"/>
    </row>
    <row r="416" customFormat="false" ht="13" hidden="false" customHeight="false" outlineLevel="0" collapsed="false">
      <c r="B416" s="145"/>
      <c r="C416" s="86"/>
      <c r="D416" s="86"/>
    </row>
    <row r="417" customFormat="false" ht="13" hidden="false" customHeight="false" outlineLevel="0" collapsed="false">
      <c r="B417" s="145"/>
      <c r="C417" s="86"/>
      <c r="D417" s="86"/>
    </row>
    <row r="418" customFormat="false" ht="13" hidden="false" customHeight="false" outlineLevel="0" collapsed="false">
      <c r="B418" s="145"/>
      <c r="C418" s="86"/>
      <c r="D418" s="86"/>
    </row>
    <row r="419" customFormat="false" ht="13" hidden="false" customHeight="false" outlineLevel="0" collapsed="false">
      <c r="B419" s="145"/>
      <c r="C419" s="86"/>
      <c r="D419" s="86"/>
    </row>
    <row r="420" customFormat="false" ht="13" hidden="false" customHeight="false" outlineLevel="0" collapsed="false">
      <c r="B420" s="145"/>
      <c r="C420" s="86"/>
      <c r="D420" s="86"/>
    </row>
    <row r="421" customFormat="false" ht="13" hidden="false" customHeight="false" outlineLevel="0" collapsed="false">
      <c r="B421" s="145"/>
      <c r="C421" s="86"/>
      <c r="D421" s="86"/>
    </row>
    <row r="422" customFormat="false" ht="13" hidden="false" customHeight="false" outlineLevel="0" collapsed="false">
      <c r="B422" s="145"/>
      <c r="C422" s="86"/>
      <c r="D422" s="86"/>
    </row>
    <row r="423" customFormat="false" ht="13" hidden="false" customHeight="false" outlineLevel="0" collapsed="false">
      <c r="B423" s="145"/>
      <c r="C423" s="86"/>
      <c r="D423" s="86"/>
    </row>
    <row r="424" customFormat="false" ht="13" hidden="false" customHeight="false" outlineLevel="0" collapsed="false">
      <c r="B424" s="145"/>
      <c r="C424" s="86"/>
      <c r="D424" s="86"/>
    </row>
    <row r="425" customFormat="false" ht="13" hidden="false" customHeight="false" outlineLevel="0" collapsed="false">
      <c r="B425" s="145"/>
      <c r="C425" s="86"/>
      <c r="D425" s="86"/>
    </row>
    <row r="426" customFormat="false" ht="13" hidden="false" customHeight="false" outlineLevel="0" collapsed="false">
      <c r="B426" s="145"/>
      <c r="C426" s="86"/>
      <c r="D426" s="86"/>
    </row>
    <row r="427" customFormat="false" ht="13" hidden="false" customHeight="false" outlineLevel="0" collapsed="false">
      <c r="B427" s="145"/>
      <c r="C427" s="86"/>
      <c r="D427" s="86"/>
    </row>
    <row r="428" customFormat="false" ht="13" hidden="false" customHeight="false" outlineLevel="0" collapsed="false">
      <c r="B428" s="145"/>
      <c r="C428" s="86"/>
      <c r="D428" s="86"/>
    </row>
    <row r="429" customFormat="false" ht="13" hidden="false" customHeight="false" outlineLevel="0" collapsed="false">
      <c r="B429" s="145"/>
      <c r="C429" s="86"/>
      <c r="D429" s="86"/>
    </row>
    <row r="430" customFormat="false" ht="13" hidden="false" customHeight="false" outlineLevel="0" collapsed="false">
      <c r="B430" s="145"/>
      <c r="C430" s="86"/>
      <c r="D430" s="86"/>
    </row>
    <row r="431" customFormat="false" ht="13" hidden="false" customHeight="false" outlineLevel="0" collapsed="false">
      <c r="B431" s="145"/>
      <c r="C431" s="86"/>
      <c r="D431" s="86"/>
    </row>
    <row r="432" customFormat="false" ht="13" hidden="false" customHeight="false" outlineLevel="0" collapsed="false">
      <c r="B432" s="145"/>
      <c r="C432" s="86"/>
      <c r="D432" s="86"/>
    </row>
    <row r="433" customFormat="false" ht="13" hidden="false" customHeight="false" outlineLevel="0" collapsed="false">
      <c r="B433" s="145"/>
      <c r="C433" s="86"/>
      <c r="D433" s="86"/>
    </row>
    <row r="434" customFormat="false" ht="13" hidden="false" customHeight="false" outlineLevel="0" collapsed="false">
      <c r="B434" s="145"/>
      <c r="C434" s="86"/>
      <c r="D434" s="86"/>
    </row>
    <row r="435" customFormat="false" ht="13" hidden="false" customHeight="false" outlineLevel="0" collapsed="false">
      <c r="B435" s="145"/>
      <c r="C435" s="86"/>
      <c r="D435" s="86"/>
    </row>
    <row r="436" customFormat="false" ht="13" hidden="false" customHeight="false" outlineLevel="0" collapsed="false">
      <c r="B436" s="145"/>
      <c r="C436" s="86"/>
      <c r="D436" s="86"/>
    </row>
    <row r="437" customFormat="false" ht="13" hidden="false" customHeight="false" outlineLevel="0" collapsed="false">
      <c r="B437" s="145"/>
      <c r="C437" s="86"/>
      <c r="D437" s="86"/>
    </row>
    <row r="438" customFormat="false" ht="13" hidden="false" customHeight="false" outlineLevel="0" collapsed="false">
      <c r="B438" s="145"/>
      <c r="C438" s="86"/>
      <c r="D438" s="86"/>
    </row>
    <row r="439" customFormat="false" ht="13" hidden="false" customHeight="false" outlineLevel="0" collapsed="false">
      <c r="B439" s="145"/>
      <c r="C439" s="86"/>
      <c r="D439" s="86"/>
    </row>
    <row r="440" customFormat="false" ht="13" hidden="false" customHeight="false" outlineLevel="0" collapsed="false">
      <c r="B440" s="145"/>
      <c r="C440" s="86"/>
      <c r="D440" s="86"/>
    </row>
    <row r="441" customFormat="false" ht="13" hidden="false" customHeight="false" outlineLevel="0" collapsed="false">
      <c r="B441" s="145"/>
      <c r="C441" s="86"/>
      <c r="D441" s="86"/>
    </row>
    <row r="442" customFormat="false" ht="13" hidden="false" customHeight="false" outlineLevel="0" collapsed="false">
      <c r="B442" s="145"/>
      <c r="C442" s="86"/>
      <c r="D442" s="86"/>
    </row>
    <row r="443" customFormat="false" ht="13" hidden="false" customHeight="false" outlineLevel="0" collapsed="false">
      <c r="B443" s="145"/>
      <c r="C443" s="86"/>
      <c r="D443" s="86"/>
    </row>
    <row r="444" customFormat="false" ht="13" hidden="false" customHeight="false" outlineLevel="0" collapsed="false">
      <c r="B444" s="145"/>
      <c r="C444" s="86"/>
      <c r="D444" s="86"/>
    </row>
    <row r="445" customFormat="false" ht="13" hidden="false" customHeight="false" outlineLevel="0" collapsed="false">
      <c r="B445" s="145"/>
      <c r="C445" s="86"/>
      <c r="D445" s="86"/>
    </row>
    <row r="446" customFormat="false" ht="13" hidden="false" customHeight="false" outlineLevel="0" collapsed="false">
      <c r="B446" s="145"/>
      <c r="C446" s="86"/>
      <c r="D446" s="86"/>
    </row>
    <row r="447" customFormat="false" ht="13" hidden="false" customHeight="false" outlineLevel="0" collapsed="false">
      <c r="B447" s="145"/>
      <c r="C447" s="86"/>
      <c r="D447" s="86"/>
    </row>
    <row r="448" customFormat="false" ht="13" hidden="false" customHeight="false" outlineLevel="0" collapsed="false">
      <c r="B448" s="145"/>
      <c r="C448" s="86"/>
      <c r="D448" s="86"/>
    </row>
    <row r="449" customFormat="false" ht="13" hidden="false" customHeight="false" outlineLevel="0" collapsed="false">
      <c r="B449" s="145"/>
      <c r="C449" s="86"/>
      <c r="D449" s="86"/>
    </row>
    <row r="450" customFormat="false" ht="13" hidden="false" customHeight="false" outlineLevel="0" collapsed="false">
      <c r="B450" s="145"/>
      <c r="C450" s="86"/>
      <c r="D450" s="86"/>
    </row>
    <row r="451" customFormat="false" ht="13" hidden="false" customHeight="false" outlineLevel="0" collapsed="false">
      <c r="B451" s="145"/>
      <c r="C451" s="86"/>
      <c r="D451" s="86"/>
    </row>
    <row r="452" customFormat="false" ht="13" hidden="false" customHeight="false" outlineLevel="0" collapsed="false">
      <c r="B452" s="145"/>
      <c r="C452" s="86"/>
      <c r="D452" s="86"/>
    </row>
    <row r="453" customFormat="false" ht="13" hidden="false" customHeight="false" outlineLevel="0" collapsed="false">
      <c r="B453" s="145"/>
      <c r="C453" s="86"/>
      <c r="D453" s="86"/>
    </row>
    <row r="454" customFormat="false" ht="13" hidden="false" customHeight="false" outlineLevel="0" collapsed="false">
      <c r="B454" s="145"/>
      <c r="C454" s="86"/>
      <c r="D454" s="86"/>
    </row>
    <row r="455" customFormat="false" ht="13" hidden="false" customHeight="false" outlineLevel="0" collapsed="false">
      <c r="B455" s="145"/>
      <c r="C455" s="86"/>
      <c r="D455" s="86"/>
    </row>
    <row r="456" customFormat="false" ht="13" hidden="false" customHeight="false" outlineLevel="0" collapsed="false">
      <c r="B456" s="145"/>
      <c r="C456" s="86"/>
      <c r="D456" s="86"/>
    </row>
    <row r="457" customFormat="false" ht="13" hidden="false" customHeight="false" outlineLevel="0" collapsed="false">
      <c r="B457" s="145"/>
      <c r="C457" s="86"/>
      <c r="D457" s="86"/>
    </row>
    <row r="458" customFormat="false" ht="13" hidden="false" customHeight="false" outlineLevel="0" collapsed="false">
      <c r="B458" s="145"/>
      <c r="C458" s="86"/>
      <c r="D458" s="86"/>
    </row>
    <row r="459" customFormat="false" ht="13" hidden="false" customHeight="false" outlineLevel="0" collapsed="false">
      <c r="B459" s="145"/>
      <c r="C459" s="86"/>
      <c r="D459" s="86"/>
    </row>
    <row r="460" customFormat="false" ht="13" hidden="false" customHeight="false" outlineLevel="0" collapsed="false">
      <c r="B460" s="145"/>
      <c r="C460" s="86"/>
      <c r="D460" s="86"/>
    </row>
    <row r="461" customFormat="false" ht="13" hidden="false" customHeight="false" outlineLevel="0" collapsed="false">
      <c r="B461" s="145"/>
      <c r="C461" s="86"/>
      <c r="D461" s="86"/>
    </row>
    <row r="462" customFormat="false" ht="13" hidden="false" customHeight="false" outlineLevel="0" collapsed="false">
      <c r="B462" s="145"/>
      <c r="C462" s="86"/>
      <c r="D462" s="86"/>
    </row>
    <row r="463" customFormat="false" ht="13" hidden="false" customHeight="false" outlineLevel="0" collapsed="false">
      <c r="B463" s="145"/>
      <c r="C463" s="86"/>
      <c r="D463" s="86"/>
    </row>
    <row r="464" customFormat="false" ht="13" hidden="false" customHeight="false" outlineLevel="0" collapsed="false">
      <c r="B464" s="145"/>
      <c r="C464" s="86"/>
      <c r="D464" s="86"/>
    </row>
    <row r="465" customFormat="false" ht="13" hidden="false" customHeight="false" outlineLevel="0" collapsed="false">
      <c r="B465" s="145"/>
      <c r="C465" s="86"/>
      <c r="D465" s="86"/>
    </row>
    <row r="466" customFormat="false" ht="13" hidden="false" customHeight="false" outlineLevel="0" collapsed="false">
      <c r="B466" s="145"/>
      <c r="C466" s="86"/>
      <c r="D466" s="86"/>
    </row>
    <row r="467" customFormat="false" ht="13" hidden="false" customHeight="false" outlineLevel="0" collapsed="false">
      <c r="B467" s="145"/>
      <c r="C467" s="86"/>
      <c r="D467" s="86"/>
    </row>
    <row r="468" customFormat="false" ht="13" hidden="false" customHeight="false" outlineLevel="0" collapsed="false">
      <c r="B468" s="145"/>
      <c r="C468" s="86"/>
      <c r="D468" s="86"/>
    </row>
    <row r="469" customFormat="false" ht="13" hidden="false" customHeight="false" outlineLevel="0" collapsed="false">
      <c r="B469" s="145"/>
      <c r="C469" s="86"/>
      <c r="D469" s="86"/>
    </row>
    <row r="470" customFormat="false" ht="13" hidden="false" customHeight="false" outlineLevel="0" collapsed="false">
      <c r="B470" s="145"/>
      <c r="C470" s="86"/>
      <c r="D470" s="86"/>
    </row>
    <row r="471" customFormat="false" ht="13" hidden="false" customHeight="false" outlineLevel="0" collapsed="false">
      <c r="B471" s="145"/>
      <c r="C471" s="86"/>
      <c r="D471" s="86"/>
    </row>
    <row r="472" customFormat="false" ht="13" hidden="false" customHeight="false" outlineLevel="0" collapsed="false">
      <c r="B472" s="145"/>
      <c r="C472" s="86"/>
      <c r="D472" s="86"/>
    </row>
    <row r="473" customFormat="false" ht="13" hidden="false" customHeight="false" outlineLevel="0" collapsed="false">
      <c r="B473" s="145"/>
      <c r="C473" s="86"/>
      <c r="D473" s="86"/>
    </row>
    <row r="474" customFormat="false" ht="13" hidden="false" customHeight="false" outlineLevel="0" collapsed="false">
      <c r="B474" s="145"/>
      <c r="C474" s="86"/>
      <c r="D474" s="86"/>
    </row>
    <row r="475" customFormat="false" ht="13" hidden="false" customHeight="false" outlineLevel="0" collapsed="false">
      <c r="B475" s="145"/>
      <c r="C475" s="86"/>
      <c r="D475" s="86"/>
    </row>
    <row r="476" customFormat="false" ht="13" hidden="false" customHeight="false" outlineLevel="0" collapsed="false">
      <c r="B476" s="145"/>
      <c r="C476" s="86"/>
      <c r="D476" s="86"/>
    </row>
    <row r="477" customFormat="false" ht="13" hidden="false" customHeight="false" outlineLevel="0" collapsed="false">
      <c r="B477" s="145"/>
      <c r="C477" s="86"/>
      <c r="D477" s="86"/>
    </row>
    <row r="478" customFormat="false" ht="13" hidden="false" customHeight="false" outlineLevel="0" collapsed="false">
      <c r="B478" s="145"/>
      <c r="C478" s="86"/>
      <c r="D478" s="86"/>
    </row>
    <row r="479" customFormat="false" ht="13" hidden="false" customHeight="false" outlineLevel="0" collapsed="false">
      <c r="B479" s="145"/>
      <c r="C479" s="86"/>
      <c r="D479" s="86"/>
    </row>
    <row r="480" customFormat="false" ht="13" hidden="false" customHeight="false" outlineLevel="0" collapsed="false">
      <c r="B480" s="145"/>
      <c r="C480" s="86"/>
      <c r="D480" s="86"/>
    </row>
    <row r="481" customFormat="false" ht="13" hidden="false" customHeight="false" outlineLevel="0" collapsed="false">
      <c r="B481" s="145"/>
      <c r="C481" s="86"/>
      <c r="D481" s="86"/>
    </row>
    <row r="482" customFormat="false" ht="13" hidden="false" customHeight="false" outlineLevel="0" collapsed="false">
      <c r="B482" s="145"/>
      <c r="C482" s="86"/>
      <c r="D482" s="86"/>
    </row>
    <row r="483" customFormat="false" ht="13" hidden="false" customHeight="false" outlineLevel="0" collapsed="false">
      <c r="B483" s="145"/>
      <c r="C483" s="86"/>
      <c r="D483" s="86"/>
    </row>
    <row r="484" customFormat="false" ht="13" hidden="false" customHeight="false" outlineLevel="0" collapsed="false">
      <c r="B484" s="145"/>
      <c r="C484" s="86"/>
      <c r="D484" s="86"/>
    </row>
    <row r="485" customFormat="false" ht="13" hidden="false" customHeight="false" outlineLevel="0" collapsed="false">
      <c r="B485" s="145"/>
      <c r="C485" s="86"/>
      <c r="D485" s="86"/>
    </row>
    <row r="486" customFormat="false" ht="13" hidden="false" customHeight="false" outlineLevel="0" collapsed="false">
      <c r="B486" s="145"/>
      <c r="C486" s="86"/>
      <c r="D486" s="86"/>
    </row>
    <row r="487" customFormat="false" ht="13" hidden="false" customHeight="false" outlineLevel="0" collapsed="false">
      <c r="B487" s="145"/>
      <c r="C487" s="86"/>
      <c r="D487" s="86"/>
    </row>
    <row r="488" customFormat="false" ht="13" hidden="false" customHeight="false" outlineLevel="0" collapsed="false">
      <c r="B488" s="145"/>
      <c r="C488" s="86"/>
      <c r="D488" s="86"/>
    </row>
    <row r="489" customFormat="false" ht="13" hidden="false" customHeight="false" outlineLevel="0" collapsed="false">
      <c r="B489" s="145"/>
      <c r="C489" s="86"/>
      <c r="D489" s="86"/>
    </row>
    <row r="490" customFormat="false" ht="13" hidden="false" customHeight="false" outlineLevel="0" collapsed="false">
      <c r="B490" s="145"/>
      <c r="C490" s="86"/>
      <c r="D490" s="86"/>
    </row>
    <row r="491" customFormat="false" ht="13" hidden="false" customHeight="false" outlineLevel="0" collapsed="false">
      <c r="B491" s="145"/>
      <c r="C491" s="86"/>
      <c r="D491" s="86"/>
    </row>
    <row r="492" customFormat="false" ht="13" hidden="false" customHeight="false" outlineLevel="0" collapsed="false">
      <c r="B492" s="145"/>
      <c r="C492" s="86"/>
      <c r="D492" s="86"/>
    </row>
    <row r="493" customFormat="false" ht="13" hidden="false" customHeight="false" outlineLevel="0" collapsed="false">
      <c r="B493" s="145"/>
      <c r="C493" s="86"/>
      <c r="D493" s="86"/>
    </row>
    <row r="494" customFormat="false" ht="13" hidden="false" customHeight="false" outlineLevel="0" collapsed="false">
      <c r="B494" s="145"/>
      <c r="C494" s="86"/>
      <c r="D494" s="86"/>
    </row>
    <row r="495" customFormat="false" ht="13" hidden="false" customHeight="false" outlineLevel="0" collapsed="false">
      <c r="B495" s="145"/>
      <c r="C495" s="86"/>
      <c r="D495" s="86"/>
    </row>
    <row r="496" customFormat="false" ht="13" hidden="false" customHeight="false" outlineLevel="0" collapsed="false">
      <c r="B496" s="145"/>
      <c r="C496" s="86"/>
      <c r="D496" s="86"/>
    </row>
    <row r="497" customFormat="false" ht="13" hidden="false" customHeight="false" outlineLevel="0" collapsed="false">
      <c r="B497" s="145"/>
      <c r="C497" s="86"/>
      <c r="D497" s="86"/>
    </row>
    <row r="498" customFormat="false" ht="13" hidden="false" customHeight="false" outlineLevel="0" collapsed="false">
      <c r="B498" s="145"/>
      <c r="C498" s="86"/>
      <c r="D498" s="86"/>
    </row>
    <row r="499" customFormat="false" ht="13" hidden="false" customHeight="false" outlineLevel="0" collapsed="false">
      <c r="B499" s="145"/>
      <c r="C499" s="86"/>
      <c r="D499" s="86"/>
    </row>
    <row r="500" customFormat="false" ht="13" hidden="false" customHeight="false" outlineLevel="0" collapsed="false">
      <c r="B500" s="145"/>
      <c r="C500" s="86"/>
      <c r="D500" s="86"/>
    </row>
    <row r="501" customFormat="false" ht="13" hidden="false" customHeight="false" outlineLevel="0" collapsed="false">
      <c r="B501" s="145"/>
      <c r="C501" s="86"/>
      <c r="D501" s="86"/>
    </row>
    <row r="502" customFormat="false" ht="13" hidden="false" customHeight="false" outlineLevel="0" collapsed="false">
      <c r="B502" s="145"/>
      <c r="C502" s="86"/>
      <c r="D502" s="86"/>
    </row>
    <row r="503" customFormat="false" ht="13" hidden="false" customHeight="false" outlineLevel="0" collapsed="false">
      <c r="B503" s="145"/>
      <c r="C503" s="86"/>
      <c r="D503" s="86"/>
    </row>
    <row r="504" customFormat="false" ht="13" hidden="false" customHeight="false" outlineLevel="0" collapsed="false">
      <c r="B504" s="145"/>
      <c r="C504" s="86"/>
      <c r="D504" s="86"/>
    </row>
    <row r="505" customFormat="false" ht="13" hidden="false" customHeight="false" outlineLevel="0" collapsed="false">
      <c r="B505" s="145"/>
      <c r="C505" s="86"/>
      <c r="D505" s="86"/>
    </row>
    <row r="506" customFormat="false" ht="13" hidden="false" customHeight="false" outlineLevel="0" collapsed="false">
      <c r="B506" s="145"/>
      <c r="C506" s="86"/>
      <c r="D506" s="86"/>
    </row>
    <row r="507" customFormat="false" ht="13" hidden="false" customHeight="false" outlineLevel="0" collapsed="false">
      <c r="B507" s="145"/>
      <c r="C507" s="86"/>
      <c r="D507" s="86"/>
    </row>
    <row r="508" customFormat="false" ht="13" hidden="false" customHeight="false" outlineLevel="0" collapsed="false">
      <c r="B508" s="145"/>
      <c r="C508" s="86"/>
      <c r="D508" s="86"/>
    </row>
    <row r="509" customFormat="false" ht="13" hidden="false" customHeight="false" outlineLevel="0" collapsed="false">
      <c r="B509" s="145"/>
      <c r="C509" s="86"/>
      <c r="D509" s="86"/>
    </row>
    <row r="510" customFormat="false" ht="13" hidden="false" customHeight="false" outlineLevel="0" collapsed="false">
      <c r="B510" s="145"/>
      <c r="C510" s="86"/>
      <c r="D510" s="86"/>
    </row>
    <row r="511" customFormat="false" ht="13" hidden="false" customHeight="false" outlineLevel="0" collapsed="false">
      <c r="B511" s="145"/>
      <c r="C511" s="86"/>
      <c r="D511" s="86"/>
    </row>
    <row r="512" customFormat="false" ht="13" hidden="false" customHeight="false" outlineLevel="0" collapsed="false">
      <c r="B512" s="145"/>
      <c r="C512" s="86"/>
      <c r="D512" s="86"/>
    </row>
    <row r="513" customFormat="false" ht="13" hidden="false" customHeight="false" outlineLevel="0" collapsed="false">
      <c r="B513" s="145"/>
      <c r="C513" s="86"/>
      <c r="D513" s="86"/>
    </row>
    <row r="514" customFormat="false" ht="13" hidden="false" customHeight="false" outlineLevel="0" collapsed="false">
      <c r="B514" s="145"/>
      <c r="C514" s="86"/>
      <c r="D514" s="86"/>
    </row>
    <row r="515" customFormat="false" ht="13" hidden="false" customHeight="false" outlineLevel="0" collapsed="false">
      <c r="B515" s="145"/>
      <c r="C515" s="86"/>
      <c r="D515" s="86"/>
    </row>
    <row r="516" customFormat="false" ht="13" hidden="false" customHeight="false" outlineLevel="0" collapsed="false">
      <c r="B516" s="145"/>
      <c r="C516" s="86"/>
      <c r="D516" s="86"/>
    </row>
    <row r="517" customFormat="false" ht="13" hidden="false" customHeight="false" outlineLevel="0" collapsed="false">
      <c r="B517" s="145"/>
      <c r="C517" s="86"/>
      <c r="D517" s="86"/>
    </row>
    <row r="518" customFormat="false" ht="13" hidden="false" customHeight="false" outlineLevel="0" collapsed="false">
      <c r="B518" s="145"/>
      <c r="C518" s="86"/>
      <c r="D518" s="86"/>
    </row>
    <row r="519" customFormat="false" ht="13" hidden="false" customHeight="false" outlineLevel="0" collapsed="false">
      <c r="B519" s="145"/>
      <c r="C519" s="86"/>
      <c r="D519" s="86"/>
    </row>
    <row r="520" customFormat="false" ht="13" hidden="false" customHeight="false" outlineLevel="0" collapsed="false">
      <c r="B520" s="145"/>
      <c r="C520" s="86"/>
      <c r="D520" s="86"/>
    </row>
    <row r="521" customFormat="false" ht="13" hidden="false" customHeight="false" outlineLevel="0" collapsed="false">
      <c r="B521" s="145"/>
      <c r="C521" s="86"/>
      <c r="D521" s="86"/>
    </row>
    <row r="522" customFormat="false" ht="13" hidden="false" customHeight="false" outlineLevel="0" collapsed="false">
      <c r="B522" s="145"/>
      <c r="C522" s="86"/>
      <c r="D522" s="86"/>
    </row>
    <row r="523" customFormat="false" ht="13" hidden="false" customHeight="false" outlineLevel="0" collapsed="false">
      <c r="B523" s="145"/>
      <c r="C523" s="86"/>
      <c r="D523" s="86"/>
    </row>
    <row r="524" customFormat="false" ht="13" hidden="false" customHeight="false" outlineLevel="0" collapsed="false">
      <c r="B524" s="145"/>
      <c r="C524" s="86"/>
      <c r="D524" s="86"/>
    </row>
    <row r="525" customFormat="false" ht="13" hidden="false" customHeight="false" outlineLevel="0" collapsed="false">
      <c r="B525" s="145"/>
      <c r="C525" s="86"/>
      <c r="D525" s="86"/>
    </row>
    <row r="526" customFormat="false" ht="13" hidden="false" customHeight="false" outlineLevel="0" collapsed="false">
      <c r="B526" s="145"/>
      <c r="C526" s="86"/>
      <c r="D526" s="86"/>
    </row>
    <row r="527" customFormat="false" ht="13" hidden="false" customHeight="false" outlineLevel="0" collapsed="false">
      <c r="B527" s="145"/>
      <c r="C527" s="86"/>
      <c r="D527" s="86"/>
    </row>
    <row r="528" customFormat="false" ht="13" hidden="false" customHeight="false" outlineLevel="0" collapsed="false">
      <c r="B528" s="145"/>
      <c r="C528" s="86"/>
      <c r="D528" s="86"/>
    </row>
    <row r="529" customFormat="false" ht="13" hidden="false" customHeight="false" outlineLevel="0" collapsed="false">
      <c r="B529" s="145"/>
      <c r="C529" s="86"/>
      <c r="D529" s="86"/>
    </row>
    <row r="530" customFormat="false" ht="13" hidden="false" customHeight="false" outlineLevel="0" collapsed="false">
      <c r="B530" s="145"/>
      <c r="C530" s="86"/>
      <c r="D530" s="86"/>
    </row>
    <row r="531" customFormat="false" ht="13" hidden="false" customHeight="false" outlineLevel="0" collapsed="false">
      <c r="B531" s="145"/>
      <c r="C531" s="86"/>
      <c r="D531" s="86"/>
    </row>
    <row r="532" customFormat="false" ht="13" hidden="false" customHeight="false" outlineLevel="0" collapsed="false">
      <c r="B532" s="145"/>
      <c r="C532" s="86"/>
      <c r="D532" s="86"/>
    </row>
    <row r="533" customFormat="false" ht="13" hidden="false" customHeight="false" outlineLevel="0" collapsed="false">
      <c r="B533" s="145"/>
      <c r="C533" s="86"/>
      <c r="D533" s="86"/>
    </row>
    <row r="534" customFormat="false" ht="13" hidden="false" customHeight="false" outlineLevel="0" collapsed="false">
      <c r="B534" s="145"/>
      <c r="C534" s="86"/>
      <c r="D534" s="86"/>
    </row>
    <row r="535" customFormat="false" ht="13" hidden="false" customHeight="false" outlineLevel="0" collapsed="false">
      <c r="B535" s="145"/>
      <c r="C535" s="86"/>
      <c r="D535" s="86"/>
    </row>
    <row r="536" customFormat="false" ht="13" hidden="false" customHeight="false" outlineLevel="0" collapsed="false">
      <c r="B536" s="145"/>
      <c r="C536" s="86"/>
      <c r="D536" s="86"/>
    </row>
    <row r="537" customFormat="false" ht="13" hidden="false" customHeight="false" outlineLevel="0" collapsed="false">
      <c r="B537" s="145"/>
      <c r="C537" s="86"/>
      <c r="D537" s="86"/>
    </row>
    <row r="538" customFormat="false" ht="13" hidden="false" customHeight="false" outlineLevel="0" collapsed="false">
      <c r="B538" s="145"/>
      <c r="C538" s="86"/>
      <c r="D538" s="86"/>
    </row>
    <row r="539" customFormat="false" ht="13" hidden="false" customHeight="false" outlineLevel="0" collapsed="false">
      <c r="B539" s="145"/>
      <c r="C539" s="86"/>
      <c r="D539" s="86"/>
    </row>
    <row r="540" customFormat="false" ht="13" hidden="false" customHeight="false" outlineLevel="0" collapsed="false">
      <c r="B540" s="145"/>
      <c r="C540" s="86"/>
      <c r="D540" s="86"/>
    </row>
    <row r="541" customFormat="false" ht="13" hidden="false" customHeight="false" outlineLevel="0" collapsed="false">
      <c r="B541" s="145"/>
      <c r="C541" s="86"/>
      <c r="D541" s="86"/>
    </row>
    <row r="542" customFormat="false" ht="13" hidden="false" customHeight="false" outlineLevel="0" collapsed="false">
      <c r="B542" s="145"/>
      <c r="C542" s="86"/>
      <c r="D542" s="86"/>
    </row>
    <row r="543" customFormat="false" ht="13" hidden="false" customHeight="false" outlineLevel="0" collapsed="false">
      <c r="B543" s="145"/>
      <c r="C543" s="86"/>
      <c r="D543" s="86"/>
    </row>
    <row r="544" customFormat="false" ht="13" hidden="false" customHeight="false" outlineLevel="0" collapsed="false">
      <c r="B544" s="145"/>
      <c r="C544" s="86"/>
      <c r="D544" s="86"/>
    </row>
    <row r="545" customFormat="false" ht="13" hidden="false" customHeight="false" outlineLevel="0" collapsed="false">
      <c r="B545" s="145"/>
      <c r="C545" s="86"/>
      <c r="D545" s="86"/>
    </row>
    <row r="546" customFormat="false" ht="13" hidden="false" customHeight="false" outlineLevel="0" collapsed="false">
      <c r="B546" s="145"/>
      <c r="C546" s="86"/>
      <c r="D546" s="86"/>
    </row>
    <row r="547" customFormat="false" ht="13" hidden="false" customHeight="false" outlineLevel="0" collapsed="false">
      <c r="B547" s="145"/>
      <c r="C547" s="86"/>
      <c r="D547" s="86"/>
    </row>
    <row r="548" customFormat="false" ht="13" hidden="false" customHeight="false" outlineLevel="0" collapsed="false">
      <c r="B548" s="145"/>
      <c r="C548" s="86"/>
      <c r="D548" s="86"/>
    </row>
    <row r="549" customFormat="false" ht="13" hidden="false" customHeight="false" outlineLevel="0" collapsed="false">
      <c r="B549" s="145"/>
      <c r="C549" s="86"/>
      <c r="D549" s="86"/>
    </row>
    <row r="550" customFormat="false" ht="13" hidden="false" customHeight="false" outlineLevel="0" collapsed="false">
      <c r="B550" s="145"/>
      <c r="C550" s="86"/>
      <c r="D550" s="86"/>
    </row>
    <row r="551" customFormat="false" ht="13" hidden="false" customHeight="false" outlineLevel="0" collapsed="false">
      <c r="B551" s="145"/>
      <c r="C551" s="86"/>
      <c r="D551" s="86"/>
    </row>
    <row r="552" customFormat="false" ht="13" hidden="false" customHeight="false" outlineLevel="0" collapsed="false">
      <c r="B552" s="145"/>
      <c r="C552" s="86"/>
      <c r="D552" s="86"/>
    </row>
    <row r="553" customFormat="false" ht="13" hidden="false" customHeight="false" outlineLevel="0" collapsed="false">
      <c r="B553" s="145"/>
      <c r="C553" s="86"/>
      <c r="D553" s="86"/>
    </row>
    <row r="554" customFormat="false" ht="13" hidden="false" customHeight="false" outlineLevel="0" collapsed="false">
      <c r="B554" s="145"/>
      <c r="C554" s="86"/>
      <c r="D554" s="86"/>
    </row>
    <row r="555" customFormat="false" ht="13" hidden="false" customHeight="false" outlineLevel="0" collapsed="false">
      <c r="B555" s="145"/>
      <c r="C555" s="86"/>
      <c r="D555" s="86"/>
    </row>
    <row r="556" customFormat="false" ht="13" hidden="false" customHeight="false" outlineLevel="0" collapsed="false">
      <c r="B556" s="145"/>
      <c r="C556" s="86"/>
      <c r="D556" s="86"/>
    </row>
    <row r="557" customFormat="false" ht="13" hidden="false" customHeight="false" outlineLevel="0" collapsed="false">
      <c r="B557" s="145"/>
      <c r="C557" s="86"/>
      <c r="D557" s="86"/>
    </row>
    <row r="558" customFormat="false" ht="13" hidden="false" customHeight="false" outlineLevel="0" collapsed="false">
      <c r="B558" s="145"/>
      <c r="C558" s="86"/>
      <c r="D558" s="86"/>
    </row>
    <row r="559" customFormat="false" ht="13" hidden="false" customHeight="false" outlineLevel="0" collapsed="false">
      <c r="B559" s="145"/>
      <c r="C559" s="86"/>
      <c r="D559" s="86"/>
    </row>
    <row r="560" customFormat="false" ht="13" hidden="false" customHeight="false" outlineLevel="0" collapsed="false">
      <c r="B560" s="145"/>
      <c r="C560" s="86"/>
      <c r="D560" s="86"/>
    </row>
    <row r="561" customFormat="false" ht="13" hidden="false" customHeight="false" outlineLevel="0" collapsed="false">
      <c r="B561" s="145"/>
      <c r="C561" s="86"/>
      <c r="D561" s="86"/>
    </row>
    <row r="562" customFormat="false" ht="13" hidden="false" customHeight="false" outlineLevel="0" collapsed="false">
      <c r="B562" s="145"/>
      <c r="C562" s="86"/>
      <c r="D562" s="86"/>
    </row>
    <row r="563" customFormat="false" ht="13" hidden="false" customHeight="false" outlineLevel="0" collapsed="false">
      <c r="B563" s="145"/>
      <c r="C563" s="86"/>
      <c r="D563" s="86"/>
    </row>
    <row r="564" customFormat="false" ht="13" hidden="false" customHeight="false" outlineLevel="0" collapsed="false">
      <c r="B564" s="145"/>
      <c r="C564" s="86"/>
      <c r="D564" s="86"/>
    </row>
    <row r="565" customFormat="false" ht="13" hidden="false" customHeight="false" outlineLevel="0" collapsed="false">
      <c r="B565" s="145"/>
      <c r="C565" s="86"/>
      <c r="D565" s="86"/>
    </row>
    <row r="566" customFormat="false" ht="13" hidden="false" customHeight="false" outlineLevel="0" collapsed="false">
      <c r="B566" s="145"/>
      <c r="C566" s="86"/>
      <c r="D566" s="86"/>
    </row>
    <row r="567" customFormat="false" ht="13" hidden="false" customHeight="false" outlineLevel="0" collapsed="false">
      <c r="B567" s="145"/>
      <c r="C567" s="86"/>
      <c r="D567" s="86"/>
    </row>
    <row r="568" customFormat="false" ht="13" hidden="false" customHeight="false" outlineLevel="0" collapsed="false">
      <c r="B568" s="145"/>
      <c r="C568" s="86"/>
      <c r="D568" s="86"/>
    </row>
    <row r="569" customFormat="false" ht="13" hidden="false" customHeight="false" outlineLevel="0" collapsed="false">
      <c r="B569" s="145"/>
      <c r="C569" s="86"/>
      <c r="D569" s="86"/>
    </row>
    <row r="570" customFormat="false" ht="13" hidden="false" customHeight="false" outlineLevel="0" collapsed="false">
      <c r="B570" s="145"/>
      <c r="C570" s="86"/>
      <c r="D570" s="86"/>
    </row>
    <row r="571" customFormat="false" ht="13" hidden="false" customHeight="false" outlineLevel="0" collapsed="false">
      <c r="B571" s="145"/>
      <c r="C571" s="86"/>
      <c r="D571" s="86"/>
    </row>
    <row r="572" customFormat="false" ht="13" hidden="false" customHeight="false" outlineLevel="0" collapsed="false">
      <c r="B572" s="145"/>
      <c r="C572" s="86"/>
      <c r="D572" s="86"/>
    </row>
    <row r="573" customFormat="false" ht="13" hidden="false" customHeight="false" outlineLevel="0" collapsed="false">
      <c r="B573" s="145"/>
      <c r="C573" s="86"/>
      <c r="D573" s="86"/>
    </row>
    <row r="574" customFormat="false" ht="13" hidden="false" customHeight="false" outlineLevel="0" collapsed="false">
      <c r="B574" s="145"/>
      <c r="C574" s="86"/>
      <c r="D574" s="86"/>
    </row>
    <row r="575" customFormat="false" ht="13" hidden="false" customHeight="false" outlineLevel="0" collapsed="false">
      <c r="B575" s="145"/>
      <c r="C575" s="86"/>
      <c r="D575" s="86"/>
    </row>
    <row r="576" customFormat="false" ht="13" hidden="false" customHeight="false" outlineLevel="0" collapsed="false">
      <c r="B576" s="145"/>
      <c r="C576" s="86"/>
      <c r="D576" s="86"/>
    </row>
    <row r="577" customFormat="false" ht="13" hidden="false" customHeight="false" outlineLevel="0" collapsed="false">
      <c r="B577" s="145"/>
      <c r="C577" s="86"/>
      <c r="D577" s="86"/>
    </row>
    <row r="578" customFormat="false" ht="13" hidden="false" customHeight="false" outlineLevel="0" collapsed="false">
      <c r="B578" s="145"/>
      <c r="C578" s="86"/>
      <c r="D578" s="86"/>
    </row>
    <row r="579" customFormat="false" ht="13" hidden="false" customHeight="false" outlineLevel="0" collapsed="false">
      <c r="B579" s="145"/>
      <c r="C579" s="86"/>
      <c r="D579" s="86"/>
    </row>
    <row r="580" customFormat="false" ht="13" hidden="false" customHeight="false" outlineLevel="0" collapsed="false">
      <c r="B580" s="145"/>
      <c r="C580" s="86"/>
      <c r="D580" s="86"/>
    </row>
    <row r="581" customFormat="false" ht="13" hidden="false" customHeight="false" outlineLevel="0" collapsed="false">
      <c r="B581" s="145"/>
      <c r="C581" s="86"/>
      <c r="D581" s="86"/>
    </row>
    <row r="582" customFormat="false" ht="13" hidden="false" customHeight="false" outlineLevel="0" collapsed="false">
      <c r="B582" s="145"/>
      <c r="C582" s="86"/>
      <c r="D582" s="86"/>
    </row>
    <row r="583" customFormat="false" ht="13" hidden="false" customHeight="false" outlineLevel="0" collapsed="false">
      <c r="B583" s="145"/>
      <c r="C583" s="86"/>
      <c r="D583" s="86"/>
    </row>
    <row r="584" customFormat="false" ht="13" hidden="false" customHeight="false" outlineLevel="0" collapsed="false">
      <c r="B584" s="145"/>
      <c r="C584" s="86"/>
      <c r="D584" s="86"/>
    </row>
    <row r="585" customFormat="false" ht="13" hidden="false" customHeight="false" outlineLevel="0" collapsed="false">
      <c r="B585" s="145"/>
      <c r="C585" s="86"/>
      <c r="D585" s="86"/>
    </row>
    <row r="586" customFormat="false" ht="13" hidden="false" customHeight="false" outlineLevel="0" collapsed="false">
      <c r="B586" s="145"/>
      <c r="C586" s="86"/>
      <c r="D586" s="86"/>
    </row>
    <row r="587" customFormat="false" ht="13" hidden="false" customHeight="false" outlineLevel="0" collapsed="false">
      <c r="B587" s="145"/>
      <c r="C587" s="86"/>
      <c r="D587" s="86"/>
    </row>
    <row r="588" customFormat="false" ht="13" hidden="false" customHeight="false" outlineLevel="0" collapsed="false">
      <c r="B588" s="145"/>
      <c r="C588" s="86"/>
      <c r="D588" s="86"/>
    </row>
    <row r="589" customFormat="false" ht="13" hidden="false" customHeight="false" outlineLevel="0" collapsed="false">
      <c r="B589" s="145"/>
      <c r="C589" s="86"/>
      <c r="D589" s="86"/>
    </row>
    <row r="590" customFormat="false" ht="13" hidden="false" customHeight="false" outlineLevel="0" collapsed="false">
      <c r="B590" s="145"/>
      <c r="C590" s="86"/>
      <c r="D590" s="86"/>
    </row>
    <row r="591" customFormat="false" ht="13" hidden="false" customHeight="false" outlineLevel="0" collapsed="false">
      <c r="B591" s="145"/>
      <c r="C591" s="86"/>
      <c r="D591" s="86"/>
    </row>
    <row r="592" customFormat="false" ht="13" hidden="false" customHeight="false" outlineLevel="0" collapsed="false">
      <c r="B592" s="145"/>
      <c r="C592" s="86"/>
      <c r="D592" s="86"/>
    </row>
    <row r="593" customFormat="false" ht="13" hidden="false" customHeight="false" outlineLevel="0" collapsed="false">
      <c r="B593" s="145"/>
      <c r="C593" s="86"/>
      <c r="D593" s="86"/>
    </row>
    <row r="594" customFormat="false" ht="13" hidden="false" customHeight="false" outlineLevel="0" collapsed="false">
      <c r="B594" s="145"/>
      <c r="C594" s="86"/>
      <c r="D594" s="86"/>
    </row>
    <row r="595" customFormat="false" ht="13" hidden="false" customHeight="false" outlineLevel="0" collapsed="false">
      <c r="B595" s="145"/>
      <c r="C595" s="86"/>
      <c r="D595" s="86"/>
    </row>
    <row r="596" customFormat="false" ht="13" hidden="false" customHeight="false" outlineLevel="0" collapsed="false">
      <c r="B596" s="145"/>
      <c r="C596" s="86"/>
      <c r="D596" s="86"/>
    </row>
    <row r="597" customFormat="false" ht="13" hidden="false" customHeight="false" outlineLevel="0" collapsed="false">
      <c r="B597" s="145"/>
      <c r="C597" s="86"/>
      <c r="D597" s="86"/>
    </row>
    <row r="598" customFormat="false" ht="13" hidden="false" customHeight="false" outlineLevel="0" collapsed="false">
      <c r="B598" s="145"/>
      <c r="C598" s="86"/>
      <c r="D598" s="86"/>
    </row>
    <row r="599" customFormat="false" ht="13" hidden="false" customHeight="false" outlineLevel="0" collapsed="false">
      <c r="B599" s="145"/>
      <c r="C599" s="86"/>
      <c r="D599" s="86"/>
    </row>
    <row r="600" customFormat="false" ht="13" hidden="false" customHeight="false" outlineLevel="0" collapsed="false">
      <c r="B600" s="145"/>
      <c r="C600" s="86"/>
      <c r="D600" s="86"/>
    </row>
    <row r="601" customFormat="false" ht="13" hidden="false" customHeight="false" outlineLevel="0" collapsed="false">
      <c r="B601" s="145"/>
      <c r="C601" s="86"/>
      <c r="D601" s="86"/>
    </row>
    <row r="602" customFormat="false" ht="13" hidden="false" customHeight="false" outlineLevel="0" collapsed="false">
      <c r="B602" s="145"/>
      <c r="C602" s="86"/>
      <c r="D602" s="86"/>
    </row>
    <row r="603" customFormat="false" ht="13" hidden="false" customHeight="false" outlineLevel="0" collapsed="false">
      <c r="B603" s="145"/>
      <c r="C603" s="86"/>
      <c r="D603" s="86"/>
    </row>
    <row r="604" customFormat="false" ht="13" hidden="false" customHeight="false" outlineLevel="0" collapsed="false">
      <c r="B604" s="145"/>
      <c r="C604" s="86"/>
      <c r="D604" s="86"/>
    </row>
    <row r="605" customFormat="false" ht="13" hidden="false" customHeight="false" outlineLevel="0" collapsed="false">
      <c r="B605" s="145"/>
      <c r="C605" s="86"/>
      <c r="D605" s="86"/>
    </row>
    <row r="606" customFormat="false" ht="13" hidden="false" customHeight="false" outlineLevel="0" collapsed="false">
      <c r="B606" s="145"/>
      <c r="C606" s="86"/>
      <c r="D606" s="86"/>
    </row>
    <row r="607" customFormat="false" ht="13" hidden="false" customHeight="false" outlineLevel="0" collapsed="false">
      <c r="B607" s="145"/>
      <c r="C607" s="86"/>
      <c r="D607" s="86"/>
    </row>
    <row r="608" customFormat="false" ht="13" hidden="false" customHeight="false" outlineLevel="0" collapsed="false">
      <c r="B608" s="145"/>
      <c r="C608" s="86"/>
      <c r="D608" s="86"/>
    </row>
    <row r="609" customFormat="false" ht="13" hidden="false" customHeight="false" outlineLevel="0" collapsed="false">
      <c r="B609" s="145"/>
      <c r="C609" s="86"/>
      <c r="D609" s="86"/>
    </row>
    <row r="610" customFormat="false" ht="13" hidden="false" customHeight="false" outlineLevel="0" collapsed="false">
      <c r="B610" s="145"/>
      <c r="C610" s="86"/>
      <c r="D610" s="86"/>
    </row>
    <row r="611" customFormat="false" ht="13" hidden="false" customHeight="false" outlineLevel="0" collapsed="false">
      <c r="B611" s="145"/>
      <c r="C611" s="86"/>
      <c r="D611" s="86"/>
    </row>
    <row r="612" customFormat="false" ht="13" hidden="false" customHeight="false" outlineLevel="0" collapsed="false">
      <c r="B612" s="145"/>
      <c r="C612" s="86"/>
      <c r="D612" s="86"/>
    </row>
    <row r="613" customFormat="false" ht="13" hidden="false" customHeight="false" outlineLevel="0" collapsed="false">
      <c r="B613" s="145"/>
      <c r="C613" s="86"/>
      <c r="D613" s="86"/>
    </row>
    <row r="614" customFormat="false" ht="13" hidden="false" customHeight="false" outlineLevel="0" collapsed="false">
      <c r="B614" s="145"/>
      <c r="C614" s="86"/>
      <c r="D614" s="86"/>
    </row>
    <row r="615" customFormat="false" ht="13" hidden="false" customHeight="false" outlineLevel="0" collapsed="false">
      <c r="B615" s="145"/>
      <c r="C615" s="86"/>
      <c r="D615" s="86"/>
    </row>
    <row r="616" customFormat="false" ht="13" hidden="false" customHeight="false" outlineLevel="0" collapsed="false">
      <c r="B616" s="145"/>
      <c r="C616" s="86"/>
      <c r="D616" s="86"/>
    </row>
    <row r="617" customFormat="false" ht="13" hidden="false" customHeight="false" outlineLevel="0" collapsed="false">
      <c r="B617" s="145"/>
      <c r="C617" s="86"/>
      <c r="D617" s="86"/>
    </row>
    <row r="618" customFormat="false" ht="13" hidden="false" customHeight="false" outlineLevel="0" collapsed="false">
      <c r="B618" s="145"/>
      <c r="C618" s="86"/>
      <c r="D618" s="86"/>
    </row>
    <row r="619" customFormat="false" ht="13" hidden="false" customHeight="false" outlineLevel="0" collapsed="false">
      <c r="B619" s="145"/>
      <c r="C619" s="86"/>
      <c r="D619" s="86"/>
    </row>
    <row r="620" customFormat="false" ht="13" hidden="false" customHeight="false" outlineLevel="0" collapsed="false">
      <c r="B620" s="145"/>
      <c r="C620" s="86"/>
      <c r="D620" s="86"/>
    </row>
    <row r="621" customFormat="false" ht="13" hidden="false" customHeight="false" outlineLevel="0" collapsed="false">
      <c r="B621" s="145"/>
      <c r="C621" s="86"/>
      <c r="D621" s="86"/>
    </row>
    <row r="622" customFormat="false" ht="13" hidden="false" customHeight="false" outlineLevel="0" collapsed="false">
      <c r="B622" s="145"/>
      <c r="C622" s="86"/>
      <c r="D622" s="86"/>
    </row>
    <row r="623" customFormat="false" ht="13" hidden="false" customHeight="false" outlineLevel="0" collapsed="false">
      <c r="B623" s="145"/>
      <c r="C623" s="86"/>
      <c r="D623" s="86"/>
    </row>
    <row r="624" customFormat="false" ht="13" hidden="false" customHeight="false" outlineLevel="0" collapsed="false">
      <c r="B624" s="145"/>
      <c r="C624" s="86"/>
      <c r="D624" s="86"/>
    </row>
    <row r="625" customFormat="false" ht="13" hidden="false" customHeight="false" outlineLevel="0" collapsed="false">
      <c r="B625" s="145"/>
      <c r="C625" s="86"/>
      <c r="D625" s="86"/>
    </row>
    <row r="626" customFormat="false" ht="13" hidden="false" customHeight="false" outlineLevel="0" collapsed="false">
      <c r="B626" s="145"/>
      <c r="C626" s="86"/>
      <c r="D626" s="86"/>
    </row>
    <row r="627" customFormat="false" ht="13" hidden="false" customHeight="false" outlineLevel="0" collapsed="false">
      <c r="B627" s="145"/>
      <c r="C627" s="86"/>
      <c r="D627" s="86"/>
    </row>
    <row r="628" customFormat="false" ht="13" hidden="false" customHeight="false" outlineLevel="0" collapsed="false">
      <c r="B628" s="145"/>
      <c r="C628" s="86"/>
      <c r="D628" s="86"/>
    </row>
    <row r="629" customFormat="false" ht="13" hidden="false" customHeight="false" outlineLevel="0" collapsed="false">
      <c r="B629" s="145"/>
      <c r="C629" s="86"/>
      <c r="D629" s="86"/>
    </row>
    <row r="630" customFormat="false" ht="13" hidden="false" customHeight="false" outlineLevel="0" collapsed="false">
      <c r="B630" s="145"/>
      <c r="C630" s="86"/>
      <c r="D630" s="86"/>
    </row>
    <row r="631" customFormat="false" ht="13" hidden="false" customHeight="false" outlineLevel="0" collapsed="false">
      <c r="B631" s="145"/>
      <c r="C631" s="86"/>
      <c r="D631" s="86"/>
    </row>
    <row r="632" customFormat="false" ht="13" hidden="false" customHeight="false" outlineLevel="0" collapsed="false">
      <c r="B632" s="145"/>
      <c r="C632" s="86"/>
      <c r="D632" s="86"/>
    </row>
    <row r="633" customFormat="false" ht="13" hidden="false" customHeight="false" outlineLevel="0" collapsed="false">
      <c r="B633" s="145"/>
      <c r="C633" s="86"/>
      <c r="D633" s="86"/>
    </row>
    <row r="634" customFormat="false" ht="13" hidden="false" customHeight="false" outlineLevel="0" collapsed="false">
      <c r="B634" s="145"/>
      <c r="C634" s="86"/>
      <c r="D634" s="86"/>
    </row>
    <row r="635" customFormat="false" ht="13" hidden="false" customHeight="false" outlineLevel="0" collapsed="false">
      <c r="B635" s="145"/>
      <c r="C635" s="86"/>
      <c r="D635" s="86"/>
    </row>
    <row r="636" customFormat="false" ht="13" hidden="false" customHeight="false" outlineLevel="0" collapsed="false">
      <c r="B636" s="145"/>
      <c r="C636" s="86"/>
      <c r="D636" s="86"/>
    </row>
    <row r="637" customFormat="false" ht="13" hidden="false" customHeight="false" outlineLevel="0" collapsed="false">
      <c r="B637" s="145"/>
      <c r="C637" s="86"/>
      <c r="D637" s="86"/>
    </row>
    <row r="638" customFormat="false" ht="13" hidden="false" customHeight="false" outlineLevel="0" collapsed="false">
      <c r="B638" s="145"/>
      <c r="C638" s="86"/>
      <c r="D638" s="86"/>
    </row>
    <row r="639" customFormat="false" ht="13" hidden="false" customHeight="false" outlineLevel="0" collapsed="false">
      <c r="B639" s="145"/>
      <c r="C639" s="86"/>
      <c r="D639" s="86"/>
    </row>
    <row r="640" customFormat="false" ht="13" hidden="false" customHeight="false" outlineLevel="0" collapsed="false">
      <c r="B640" s="145"/>
      <c r="C640" s="86"/>
      <c r="D640" s="86"/>
    </row>
    <row r="641" customFormat="false" ht="13" hidden="false" customHeight="false" outlineLevel="0" collapsed="false">
      <c r="B641" s="145"/>
      <c r="C641" s="86"/>
      <c r="D641" s="86"/>
    </row>
    <row r="642" customFormat="false" ht="13" hidden="false" customHeight="false" outlineLevel="0" collapsed="false">
      <c r="B642" s="145"/>
      <c r="C642" s="86"/>
      <c r="D642" s="86"/>
    </row>
    <row r="643" customFormat="false" ht="13" hidden="false" customHeight="false" outlineLevel="0" collapsed="false">
      <c r="B643" s="145"/>
      <c r="C643" s="86"/>
      <c r="D643" s="86"/>
    </row>
    <row r="644" customFormat="false" ht="13" hidden="false" customHeight="false" outlineLevel="0" collapsed="false">
      <c r="B644" s="145"/>
      <c r="C644" s="86"/>
      <c r="D644" s="86"/>
    </row>
    <row r="645" customFormat="false" ht="13" hidden="false" customHeight="false" outlineLevel="0" collapsed="false">
      <c r="B645" s="145"/>
      <c r="C645" s="86"/>
      <c r="D645" s="86"/>
    </row>
    <row r="646" customFormat="false" ht="13" hidden="false" customHeight="false" outlineLevel="0" collapsed="false">
      <c r="B646" s="145"/>
      <c r="C646" s="86"/>
      <c r="D646" s="86"/>
    </row>
    <row r="647" customFormat="false" ht="13" hidden="false" customHeight="false" outlineLevel="0" collapsed="false">
      <c r="B647" s="145"/>
      <c r="C647" s="86"/>
      <c r="D647" s="86"/>
    </row>
    <row r="648" customFormat="false" ht="13" hidden="false" customHeight="false" outlineLevel="0" collapsed="false">
      <c r="B648" s="145"/>
      <c r="C648" s="86"/>
      <c r="D648" s="86"/>
    </row>
    <row r="649" customFormat="false" ht="13" hidden="false" customHeight="false" outlineLevel="0" collapsed="false">
      <c r="B649" s="145"/>
      <c r="C649" s="86"/>
      <c r="D649" s="86"/>
    </row>
    <row r="650" customFormat="false" ht="13" hidden="false" customHeight="false" outlineLevel="0" collapsed="false">
      <c r="B650" s="145"/>
      <c r="C650" s="86"/>
      <c r="D650" s="86"/>
    </row>
    <row r="651" customFormat="false" ht="13" hidden="false" customHeight="false" outlineLevel="0" collapsed="false">
      <c r="B651" s="145"/>
      <c r="C651" s="86"/>
      <c r="D651" s="86"/>
    </row>
    <row r="652" customFormat="false" ht="13" hidden="false" customHeight="false" outlineLevel="0" collapsed="false">
      <c r="B652" s="145"/>
      <c r="C652" s="86"/>
      <c r="D652" s="86"/>
    </row>
    <row r="653" customFormat="false" ht="13" hidden="false" customHeight="false" outlineLevel="0" collapsed="false">
      <c r="B653" s="145"/>
      <c r="C653" s="86"/>
      <c r="D653" s="86"/>
    </row>
    <row r="654" customFormat="false" ht="13" hidden="false" customHeight="false" outlineLevel="0" collapsed="false">
      <c r="B654" s="145"/>
      <c r="C654" s="86"/>
      <c r="D654" s="86"/>
    </row>
    <row r="655" customFormat="false" ht="13" hidden="false" customHeight="false" outlineLevel="0" collapsed="false">
      <c r="B655" s="145"/>
      <c r="C655" s="86"/>
      <c r="D655" s="86"/>
    </row>
    <row r="656" customFormat="false" ht="13" hidden="false" customHeight="false" outlineLevel="0" collapsed="false">
      <c r="B656" s="145"/>
      <c r="C656" s="86"/>
      <c r="D656" s="86"/>
    </row>
    <row r="657" customFormat="false" ht="13" hidden="false" customHeight="false" outlineLevel="0" collapsed="false">
      <c r="B657" s="145"/>
      <c r="C657" s="86"/>
      <c r="D657" s="86"/>
    </row>
    <row r="658" customFormat="false" ht="13" hidden="false" customHeight="false" outlineLevel="0" collapsed="false">
      <c r="B658" s="145"/>
      <c r="C658" s="86"/>
      <c r="D658" s="86"/>
    </row>
    <row r="659" customFormat="false" ht="13" hidden="false" customHeight="false" outlineLevel="0" collapsed="false">
      <c r="B659" s="145"/>
      <c r="C659" s="86"/>
      <c r="D659" s="86"/>
    </row>
    <row r="660" customFormat="false" ht="13" hidden="false" customHeight="false" outlineLevel="0" collapsed="false">
      <c r="B660" s="145"/>
      <c r="C660" s="86"/>
      <c r="D660" s="86"/>
    </row>
    <row r="661" customFormat="false" ht="13" hidden="false" customHeight="false" outlineLevel="0" collapsed="false">
      <c r="B661" s="145"/>
      <c r="C661" s="86"/>
      <c r="D661" s="86"/>
    </row>
    <row r="662" customFormat="false" ht="13" hidden="false" customHeight="false" outlineLevel="0" collapsed="false">
      <c r="B662" s="145"/>
      <c r="C662" s="86"/>
      <c r="D662" s="86"/>
    </row>
    <row r="663" customFormat="false" ht="13" hidden="false" customHeight="false" outlineLevel="0" collapsed="false">
      <c r="B663" s="145"/>
      <c r="C663" s="86"/>
      <c r="D663" s="86"/>
    </row>
    <row r="664" customFormat="false" ht="13" hidden="false" customHeight="false" outlineLevel="0" collapsed="false">
      <c r="B664" s="145"/>
      <c r="C664" s="86"/>
      <c r="D664" s="86"/>
    </row>
    <row r="665" customFormat="false" ht="13" hidden="false" customHeight="false" outlineLevel="0" collapsed="false">
      <c r="B665" s="145"/>
      <c r="C665" s="86"/>
      <c r="D665" s="86"/>
    </row>
    <row r="666" customFormat="false" ht="13" hidden="false" customHeight="false" outlineLevel="0" collapsed="false">
      <c r="B666" s="145"/>
      <c r="C666" s="86"/>
      <c r="D666" s="86"/>
    </row>
    <row r="667" customFormat="false" ht="13" hidden="false" customHeight="false" outlineLevel="0" collapsed="false">
      <c r="B667" s="145"/>
      <c r="C667" s="86"/>
      <c r="D667" s="86"/>
    </row>
    <row r="668" customFormat="false" ht="13" hidden="false" customHeight="false" outlineLevel="0" collapsed="false">
      <c r="B668" s="145"/>
      <c r="C668" s="86"/>
      <c r="D668" s="86"/>
    </row>
    <row r="669" customFormat="false" ht="13" hidden="false" customHeight="false" outlineLevel="0" collapsed="false">
      <c r="B669" s="145"/>
      <c r="C669" s="86"/>
      <c r="D669" s="86"/>
    </row>
    <row r="670" customFormat="false" ht="13" hidden="false" customHeight="false" outlineLevel="0" collapsed="false">
      <c r="B670" s="145"/>
      <c r="C670" s="86"/>
      <c r="D670" s="86"/>
    </row>
    <row r="671" customFormat="false" ht="13" hidden="false" customHeight="false" outlineLevel="0" collapsed="false">
      <c r="B671" s="145"/>
      <c r="C671" s="86"/>
      <c r="D671" s="86"/>
    </row>
    <row r="672" customFormat="false" ht="13" hidden="false" customHeight="false" outlineLevel="0" collapsed="false">
      <c r="B672" s="145"/>
      <c r="C672" s="86"/>
      <c r="D672" s="86"/>
    </row>
    <row r="673" customFormat="false" ht="13" hidden="false" customHeight="false" outlineLevel="0" collapsed="false">
      <c r="B673" s="145"/>
      <c r="C673" s="86"/>
      <c r="D673" s="86"/>
    </row>
    <row r="674" customFormat="false" ht="13" hidden="false" customHeight="false" outlineLevel="0" collapsed="false">
      <c r="B674" s="145"/>
      <c r="C674" s="86"/>
      <c r="D674" s="86"/>
    </row>
    <row r="675" customFormat="false" ht="13" hidden="false" customHeight="false" outlineLevel="0" collapsed="false">
      <c r="B675" s="145"/>
      <c r="C675" s="86"/>
      <c r="D675" s="86"/>
    </row>
    <row r="676" customFormat="false" ht="13" hidden="false" customHeight="false" outlineLevel="0" collapsed="false">
      <c r="B676" s="145"/>
      <c r="C676" s="86"/>
      <c r="D676" s="86"/>
    </row>
    <row r="677" customFormat="false" ht="13" hidden="false" customHeight="false" outlineLevel="0" collapsed="false">
      <c r="B677" s="145"/>
      <c r="C677" s="86"/>
      <c r="D677" s="86"/>
    </row>
    <row r="678" customFormat="false" ht="13" hidden="false" customHeight="false" outlineLevel="0" collapsed="false">
      <c r="B678" s="145"/>
      <c r="C678" s="86"/>
      <c r="D678" s="86"/>
    </row>
    <row r="679" customFormat="false" ht="13" hidden="false" customHeight="false" outlineLevel="0" collapsed="false">
      <c r="B679" s="145"/>
      <c r="C679" s="86"/>
      <c r="D679" s="86"/>
    </row>
    <row r="680" customFormat="false" ht="13" hidden="false" customHeight="false" outlineLevel="0" collapsed="false">
      <c r="B680" s="145"/>
      <c r="C680" s="86"/>
      <c r="D680" s="86"/>
    </row>
    <row r="681" customFormat="false" ht="13" hidden="false" customHeight="false" outlineLevel="0" collapsed="false">
      <c r="B681" s="145"/>
      <c r="C681" s="86"/>
      <c r="D681" s="86"/>
    </row>
    <row r="682" customFormat="false" ht="13" hidden="false" customHeight="false" outlineLevel="0" collapsed="false">
      <c r="B682" s="145"/>
      <c r="C682" s="86"/>
      <c r="D682" s="86"/>
    </row>
    <row r="683" customFormat="false" ht="13" hidden="false" customHeight="false" outlineLevel="0" collapsed="false">
      <c r="B683" s="145"/>
      <c r="C683" s="86"/>
      <c r="D683" s="86"/>
    </row>
    <row r="684" customFormat="false" ht="13" hidden="false" customHeight="false" outlineLevel="0" collapsed="false">
      <c r="B684" s="145"/>
      <c r="C684" s="86"/>
      <c r="D684" s="86"/>
    </row>
    <row r="685" customFormat="false" ht="13" hidden="false" customHeight="false" outlineLevel="0" collapsed="false">
      <c r="B685" s="145"/>
      <c r="C685" s="86"/>
      <c r="D685" s="86"/>
    </row>
    <row r="686" customFormat="false" ht="13" hidden="false" customHeight="false" outlineLevel="0" collapsed="false">
      <c r="B686" s="145"/>
      <c r="C686" s="86"/>
      <c r="D686" s="86"/>
    </row>
    <row r="687" customFormat="false" ht="13" hidden="false" customHeight="false" outlineLevel="0" collapsed="false">
      <c r="B687" s="145"/>
      <c r="C687" s="86"/>
      <c r="D687" s="86"/>
    </row>
    <row r="688" customFormat="false" ht="13" hidden="false" customHeight="false" outlineLevel="0" collapsed="false">
      <c r="B688" s="145"/>
      <c r="C688" s="86"/>
      <c r="D688" s="86"/>
    </row>
    <row r="689" customFormat="false" ht="13" hidden="false" customHeight="false" outlineLevel="0" collapsed="false">
      <c r="B689" s="145"/>
      <c r="C689" s="86"/>
      <c r="D689" s="86"/>
    </row>
    <row r="690" customFormat="false" ht="13" hidden="false" customHeight="false" outlineLevel="0" collapsed="false">
      <c r="B690" s="145"/>
      <c r="C690" s="86"/>
      <c r="D690" s="86"/>
    </row>
    <row r="691" customFormat="false" ht="13" hidden="false" customHeight="false" outlineLevel="0" collapsed="false">
      <c r="B691" s="145"/>
      <c r="C691" s="86"/>
      <c r="D691" s="86"/>
    </row>
    <row r="692" customFormat="false" ht="13" hidden="false" customHeight="false" outlineLevel="0" collapsed="false">
      <c r="B692" s="145"/>
      <c r="C692" s="86"/>
      <c r="D692" s="86"/>
    </row>
    <row r="693" customFormat="false" ht="13" hidden="false" customHeight="false" outlineLevel="0" collapsed="false">
      <c r="B693" s="145"/>
      <c r="C693" s="86"/>
      <c r="D693" s="86"/>
    </row>
    <row r="694" customFormat="false" ht="13" hidden="false" customHeight="false" outlineLevel="0" collapsed="false">
      <c r="B694" s="145"/>
      <c r="C694" s="86"/>
      <c r="D694" s="86"/>
    </row>
    <row r="695" customFormat="false" ht="13" hidden="false" customHeight="false" outlineLevel="0" collapsed="false">
      <c r="B695" s="145"/>
      <c r="C695" s="86"/>
      <c r="D695" s="86"/>
    </row>
    <row r="696" customFormat="false" ht="13" hidden="false" customHeight="false" outlineLevel="0" collapsed="false">
      <c r="B696" s="145"/>
      <c r="C696" s="86"/>
      <c r="D696" s="86"/>
    </row>
    <row r="697" customFormat="false" ht="13" hidden="false" customHeight="false" outlineLevel="0" collapsed="false">
      <c r="B697" s="145"/>
      <c r="C697" s="86"/>
      <c r="D697" s="86"/>
    </row>
    <row r="698" customFormat="false" ht="13" hidden="false" customHeight="false" outlineLevel="0" collapsed="false">
      <c r="B698" s="145"/>
      <c r="C698" s="86"/>
      <c r="D698" s="86"/>
    </row>
    <row r="699" customFormat="false" ht="13" hidden="false" customHeight="false" outlineLevel="0" collapsed="false">
      <c r="B699" s="145"/>
      <c r="C699" s="86"/>
      <c r="D699" s="86"/>
    </row>
    <row r="700" customFormat="false" ht="13" hidden="false" customHeight="false" outlineLevel="0" collapsed="false">
      <c r="B700" s="145"/>
      <c r="C700" s="86"/>
      <c r="D700" s="86"/>
    </row>
    <row r="701" customFormat="false" ht="13" hidden="false" customHeight="false" outlineLevel="0" collapsed="false">
      <c r="B701" s="145"/>
      <c r="C701" s="86"/>
      <c r="D701" s="86"/>
    </row>
    <row r="702" customFormat="false" ht="13" hidden="false" customHeight="false" outlineLevel="0" collapsed="false">
      <c r="B702" s="145"/>
      <c r="C702" s="86"/>
      <c r="D702" s="86"/>
    </row>
    <row r="703" customFormat="false" ht="13" hidden="false" customHeight="false" outlineLevel="0" collapsed="false">
      <c r="B703" s="145"/>
      <c r="C703" s="86"/>
      <c r="D703" s="86"/>
    </row>
    <row r="704" customFormat="false" ht="13" hidden="false" customHeight="false" outlineLevel="0" collapsed="false">
      <c r="B704" s="145"/>
      <c r="C704" s="86"/>
      <c r="D704" s="86"/>
    </row>
    <row r="705" customFormat="false" ht="13" hidden="false" customHeight="false" outlineLevel="0" collapsed="false">
      <c r="B705" s="145"/>
      <c r="C705" s="86"/>
      <c r="D705" s="86"/>
    </row>
    <row r="706" customFormat="false" ht="13" hidden="false" customHeight="false" outlineLevel="0" collapsed="false">
      <c r="B706" s="145"/>
      <c r="C706" s="86"/>
      <c r="D706" s="86"/>
    </row>
    <row r="707" customFormat="false" ht="13" hidden="false" customHeight="false" outlineLevel="0" collapsed="false">
      <c r="B707" s="145"/>
      <c r="C707" s="86"/>
      <c r="D707" s="86"/>
    </row>
    <row r="708" customFormat="false" ht="13" hidden="false" customHeight="false" outlineLevel="0" collapsed="false">
      <c r="B708" s="145"/>
      <c r="C708" s="86"/>
      <c r="D708" s="86"/>
    </row>
    <row r="709" customFormat="false" ht="13" hidden="false" customHeight="false" outlineLevel="0" collapsed="false">
      <c r="B709" s="145"/>
      <c r="C709" s="86"/>
      <c r="D709" s="86"/>
    </row>
    <row r="710" customFormat="false" ht="13" hidden="false" customHeight="false" outlineLevel="0" collapsed="false">
      <c r="B710" s="145"/>
      <c r="C710" s="86"/>
      <c r="D710" s="86"/>
    </row>
    <row r="711" customFormat="false" ht="13" hidden="false" customHeight="false" outlineLevel="0" collapsed="false">
      <c r="B711" s="145"/>
      <c r="C711" s="86"/>
      <c r="D711" s="86"/>
    </row>
    <row r="712" customFormat="false" ht="13" hidden="false" customHeight="false" outlineLevel="0" collapsed="false">
      <c r="B712" s="145"/>
      <c r="C712" s="86"/>
      <c r="D712" s="86"/>
    </row>
    <row r="713" customFormat="false" ht="13" hidden="false" customHeight="false" outlineLevel="0" collapsed="false">
      <c r="B713" s="145"/>
      <c r="C713" s="86"/>
      <c r="D713" s="86"/>
    </row>
    <row r="714" customFormat="false" ht="13" hidden="false" customHeight="false" outlineLevel="0" collapsed="false">
      <c r="B714" s="145"/>
      <c r="C714" s="86"/>
      <c r="D714" s="86"/>
    </row>
    <row r="715" customFormat="false" ht="13" hidden="false" customHeight="false" outlineLevel="0" collapsed="false">
      <c r="B715" s="145"/>
      <c r="C715" s="86"/>
      <c r="D715" s="86"/>
    </row>
    <row r="716" customFormat="false" ht="13" hidden="false" customHeight="false" outlineLevel="0" collapsed="false">
      <c r="B716" s="145"/>
      <c r="C716" s="86"/>
      <c r="D716" s="86"/>
    </row>
    <row r="717" customFormat="false" ht="13" hidden="false" customHeight="false" outlineLevel="0" collapsed="false">
      <c r="B717" s="145"/>
      <c r="C717" s="86"/>
      <c r="D717" s="86"/>
    </row>
    <row r="718" customFormat="false" ht="13" hidden="false" customHeight="false" outlineLevel="0" collapsed="false">
      <c r="B718" s="145"/>
      <c r="C718" s="86"/>
      <c r="D718" s="86"/>
    </row>
    <row r="719" customFormat="false" ht="13" hidden="false" customHeight="false" outlineLevel="0" collapsed="false">
      <c r="B719" s="145"/>
      <c r="C719" s="86"/>
      <c r="D719" s="86"/>
    </row>
    <row r="720" customFormat="false" ht="13" hidden="false" customHeight="false" outlineLevel="0" collapsed="false">
      <c r="B720" s="145"/>
      <c r="C720" s="86"/>
      <c r="D720" s="86"/>
    </row>
    <row r="721" customFormat="false" ht="13" hidden="false" customHeight="false" outlineLevel="0" collapsed="false">
      <c r="B721" s="145"/>
      <c r="C721" s="86"/>
      <c r="D721" s="86"/>
    </row>
    <row r="722" customFormat="false" ht="13" hidden="false" customHeight="false" outlineLevel="0" collapsed="false">
      <c r="B722" s="145"/>
      <c r="C722" s="86"/>
      <c r="D722" s="86"/>
    </row>
    <row r="723" customFormat="false" ht="13" hidden="false" customHeight="false" outlineLevel="0" collapsed="false">
      <c r="B723" s="145"/>
      <c r="C723" s="86"/>
      <c r="D723" s="86"/>
    </row>
    <row r="724" customFormat="false" ht="13" hidden="false" customHeight="false" outlineLevel="0" collapsed="false">
      <c r="B724" s="145"/>
      <c r="C724" s="86"/>
      <c r="D724" s="86"/>
    </row>
    <row r="725" customFormat="false" ht="13" hidden="false" customHeight="false" outlineLevel="0" collapsed="false">
      <c r="B725" s="145"/>
      <c r="C725" s="86"/>
      <c r="D725" s="86"/>
    </row>
    <row r="726" customFormat="false" ht="13" hidden="false" customHeight="false" outlineLevel="0" collapsed="false">
      <c r="B726" s="145"/>
      <c r="C726" s="86"/>
      <c r="D726" s="86"/>
    </row>
    <row r="727" customFormat="false" ht="13" hidden="false" customHeight="false" outlineLevel="0" collapsed="false">
      <c r="B727" s="145"/>
      <c r="C727" s="86"/>
      <c r="D727" s="86"/>
    </row>
    <row r="728" customFormat="false" ht="13" hidden="false" customHeight="false" outlineLevel="0" collapsed="false">
      <c r="B728" s="145"/>
      <c r="C728" s="86"/>
      <c r="D728" s="86"/>
    </row>
    <row r="729" customFormat="false" ht="13" hidden="false" customHeight="false" outlineLevel="0" collapsed="false">
      <c r="B729" s="145"/>
      <c r="C729" s="86"/>
      <c r="D729" s="86"/>
    </row>
    <row r="730" customFormat="false" ht="13" hidden="false" customHeight="false" outlineLevel="0" collapsed="false">
      <c r="B730" s="145"/>
      <c r="C730" s="86"/>
      <c r="D730" s="86"/>
    </row>
    <row r="731" customFormat="false" ht="13" hidden="false" customHeight="false" outlineLevel="0" collapsed="false">
      <c r="B731" s="145"/>
      <c r="C731" s="86"/>
      <c r="D731" s="86"/>
    </row>
    <row r="732" customFormat="false" ht="13" hidden="false" customHeight="false" outlineLevel="0" collapsed="false">
      <c r="B732" s="145"/>
      <c r="C732" s="86"/>
      <c r="D732" s="86"/>
    </row>
    <row r="733" customFormat="false" ht="13" hidden="false" customHeight="false" outlineLevel="0" collapsed="false">
      <c r="B733" s="145"/>
      <c r="C733" s="86"/>
      <c r="D733" s="86"/>
    </row>
    <row r="734" customFormat="false" ht="13" hidden="false" customHeight="false" outlineLevel="0" collapsed="false">
      <c r="B734" s="145"/>
      <c r="C734" s="86"/>
      <c r="D734" s="86"/>
    </row>
    <row r="735" customFormat="false" ht="13" hidden="false" customHeight="false" outlineLevel="0" collapsed="false">
      <c r="B735" s="145"/>
      <c r="C735" s="86"/>
      <c r="D735" s="86"/>
    </row>
    <row r="736" customFormat="false" ht="13" hidden="false" customHeight="false" outlineLevel="0" collapsed="false">
      <c r="B736" s="145"/>
      <c r="C736" s="86"/>
      <c r="D736" s="86"/>
    </row>
    <row r="737" customFormat="false" ht="13" hidden="false" customHeight="false" outlineLevel="0" collapsed="false">
      <c r="B737" s="145"/>
      <c r="C737" s="86"/>
      <c r="D737" s="86"/>
    </row>
    <row r="738" customFormat="false" ht="13" hidden="false" customHeight="false" outlineLevel="0" collapsed="false">
      <c r="B738" s="145"/>
      <c r="C738" s="86"/>
      <c r="D738" s="86"/>
    </row>
    <row r="739" customFormat="false" ht="13" hidden="false" customHeight="false" outlineLevel="0" collapsed="false">
      <c r="B739" s="145"/>
      <c r="C739" s="86"/>
      <c r="D739" s="86"/>
    </row>
    <row r="740" customFormat="false" ht="13" hidden="false" customHeight="false" outlineLevel="0" collapsed="false">
      <c r="B740" s="145"/>
      <c r="C740" s="86"/>
      <c r="D740" s="86"/>
    </row>
    <row r="741" customFormat="false" ht="13" hidden="false" customHeight="false" outlineLevel="0" collapsed="false">
      <c r="B741" s="145"/>
      <c r="C741" s="86"/>
      <c r="D741" s="86"/>
    </row>
    <row r="742" customFormat="false" ht="13" hidden="false" customHeight="false" outlineLevel="0" collapsed="false">
      <c r="B742" s="145"/>
      <c r="C742" s="86"/>
      <c r="D742" s="86"/>
    </row>
    <row r="743" customFormat="false" ht="13" hidden="false" customHeight="false" outlineLevel="0" collapsed="false">
      <c r="B743" s="145"/>
      <c r="C743" s="86"/>
      <c r="D743" s="86"/>
    </row>
    <row r="744" customFormat="false" ht="13" hidden="false" customHeight="false" outlineLevel="0" collapsed="false">
      <c r="B744" s="145"/>
      <c r="C744" s="86"/>
      <c r="D744" s="86"/>
    </row>
    <row r="745" customFormat="false" ht="13" hidden="false" customHeight="false" outlineLevel="0" collapsed="false">
      <c r="B745" s="145"/>
      <c r="C745" s="86"/>
      <c r="D745" s="86"/>
    </row>
    <row r="746" customFormat="false" ht="13" hidden="false" customHeight="false" outlineLevel="0" collapsed="false">
      <c r="B746" s="145"/>
      <c r="C746" s="86"/>
      <c r="D746" s="86"/>
    </row>
    <row r="747" customFormat="false" ht="13" hidden="false" customHeight="false" outlineLevel="0" collapsed="false">
      <c r="B747" s="145"/>
      <c r="C747" s="86"/>
      <c r="D747" s="86"/>
    </row>
    <row r="748" customFormat="false" ht="13" hidden="false" customHeight="false" outlineLevel="0" collapsed="false">
      <c r="B748" s="145"/>
      <c r="C748" s="86"/>
      <c r="D748" s="86"/>
    </row>
    <row r="749" customFormat="false" ht="13" hidden="false" customHeight="false" outlineLevel="0" collapsed="false">
      <c r="B749" s="145"/>
      <c r="C749" s="86"/>
      <c r="D749" s="86"/>
    </row>
    <row r="750" customFormat="false" ht="13" hidden="false" customHeight="false" outlineLevel="0" collapsed="false">
      <c r="B750" s="145"/>
      <c r="C750" s="86"/>
      <c r="D750" s="86"/>
    </row>
    <row r="751" customFormat="false" ht="13" hidden="false" customHeight="false" outlineLevel="0" collapsed="false">
      <c r="B751" s="145"/>
      <c r="C751" s="86"/>
      <c r="D751" s="86"/>
    </row>
    <row r="752" customFormat="false" ht="13" hidden="false" customHeight="false" outlineLevel="0" collapsed="false">
      <c r="B752" s="145"/>
      <c r="C752" s="86"/>
      <c r="D752" s="86"/>
    </row>
    <row r="753" customFormat="false" ht="13" hidden="false" customHeight="false" outlineLevel="0" collapsed="false">
      <c r="B753" s="145"/>
      <c r="C753" s="86"/>
      <c r="D753" s="86"/>
    </row>
    <row r="754" customFormat="false" ht="13" hidden="false" customHeight="false" outlineLevel="0" collapsed="false">
      <c r="B754" s="145"/>
      <c r="C754" s="86"/>
      <c r="D754" s="86"/>
    </row>
    <row r="755" customFormat="false" ht="13" hidden="false" customHeight="false" outlineLevel="0" collapsed="false">
      <c r="B755" s="145"/>
      <c r="C755" s="86"/>
      <c r="D755" s="86"/>
    </row>
    <row r="756" customFormat="false" ht="13" hidden="false" customHeight="false" outlineLevel="0" collapsed="false">
      <c r="B756" s="145"/>
      <c r="C756" s="86"/>
      <c r="D756" s="86"/>
    </row>
    <row r="757" customFormat="false" ht="13" hidden="false" customHeight="false" outlineLevel="0" collapsed="false">
      <c r="B757" s="145"/>
      <c r="C757" s="86"/>
      <c r="D757" s="86"/>
    </row>
    <row r="758" customFormat="false" ht="13" hidden="false" customHeight="false" outlineLevel="0" collapsed="false">
      <c r="B758" s="145"/>
      <c r="C758" s="86"/>
      <c r="D758" s="86"/>
    </row>
    <row r="759" customFormat="false" ht="13" hidden="false" customHeight="false" outlineLevel="0" collapsed="false">
      <c r="B759" s="145"/>
      <c r="C759" s="86"/>
      <c r="D759" s="86"/>
    </row>
    <row r="760" customFormat="false" ht="13" hidden="false" customHeight="false" outlineLevel="0" collapsed="false">
      <c r="B760" s="145"/>
      <c r="C760" s="86"/>
      <c r="D760" s="86"/>
    </row>
    <row r="761" customFormat="false" ht="13" hidden="false" customHeight="false" outlineLevel="0" collapsed="false">
      <c r="B761" s="145"/>
      <c r="C761" s="86"/>
      <c r="D761" s="86"/>
    </row>
    <row r="762" customFormat="false" ht="13" hidden="false" customHeight="false" outlineLevel="0" collapsed="false">
      <c r="B762" s="145"/>
      <c r="C762" s="86"/>
      <c r="D762" s="86"/>
    </row>
    <row r="763" customFormat="false" ht="13" hidden="false" customHeight="false" outlineLevel="0" collapsed="false">
      <c r="B763" s="145"/>
      <c r="C763" s="86"/>
      <c r="D763" s="86"/>
    </row>
    <row r="764" customFormat="false" ht="13" hidden="false" customHeight="false" outlineLevel="0" collapsed="false">
      <c r="B764" s="145"/>
      <c r="C764" s="86"/>
      <c r="D764" s="86"/>
    </row>
    <row r="765" customFormat="false" ht="13" hidden="false" customHeight="false" outlineLevel="0" collapsed="false">
      <c r="B765" s="145"/>
      <c r="C765" s="86"/>
      <c r="D765" s="86"/>
    </row>
    <row r="766" customFormat="false" ht="13" hidden="false" customHeight="false" outlineLevel="0" collapsed="false">
      <c r="B766" s="145"/>
      <c r="C766" s="86"/>
      <c r="D766" s="86"/>
    </row>
    <row r="767" customFormat="false" ht="13" hidden="false" customHeight="false" outlineLevel="0" collapsed="false">
      <c r="B767" s="145"/>
      <c r="C767" s="86"/>
      <c r="D767" s="86"/>
    </row>
    <row r="768" customFormat="false" ht="13" hidden="false" customHeight="false" outlineLevel="0" collapsed="false">
      <c r="B768" s="145"/>
      <c r="C768" s="86"/>
      <c r="D768" s="86"/>
    </row>
    <row r="769" customFormat="false" ht="13" hidden="false" customHeight="false" outlineLevel="0" collapsed="false">
      <c r="B769" s="145"/>
      <c r="C769" s="86"/>
      <c r="D769" s="86"/>
    </row>
    <row r="770" customFormat="false" ht="13" hidden="false" customHeight="false" outlineLevel="0" collapsed="false">
      <c r="B770" s="145"/>
      <c r="C770" s="86"/>
      <c r="D770" s="86"/>
    </row>
    <row r="771" customFormat="false" ht="13" hidden="false" customHeight="false" outlineLevel="0" collapsed="false">
      <c r="B771" s="145"/>
      <c r="C771" s="86"/>
      <c r="D771" s="86"/>
    </row>
    <row r="772" customFormat="false" ht="13" hidden="false" customHeight="false" outlineLevel="0" collapsed="false">
      <c r="B772" s="145"/>
      <c r="C772" s="86"/>
      <c r="D772" s="86"/>
    </row>
    <row r="773" customFormat="false" ht="13" hidden="false" customHeight="false" outlineLevel="0" collapsed="false">
      <c r="B773" s="145"/>
      <c r="C773" s="86"/>
      <c r="D773" s="86"/>
    </row>
    <row r="774" customFormat="false" ht="13" hidden="false" customHeight="false" outlineLevel="0" collapsed="false">
      <c r="B774" s="145"/>
      <c r="C774" s="86"/>
      <c r="D774" s="86"/>
    </row>
    <row r="775" customFormat="false" ht="13" hidden="false" customHeight="false" outlineLevel="0" collapsed="false">
      <c r="B775" s="145"/>
      <c r="C775" s="86"/>
      <c r="D775" s="86"/>
    </row>
    <row r="776" customFormat="false" ht="13" hidden="false" customHeight="false" outlineLevel="0" collapsed="false">
      <c r="B776" s="145"/>
      <c r="C776" s="86"/>
      <c r="D776" s="86"/>
    </row>
    <row r="777" customFormat="false" ht="13" hidden="false" customHeight="false" outlineLevel="0" collapsed="false">
      <c r="B777" s="145"/>
      <c r="C777" s="86"/>
      <c r="D777" s="86"/>
    </row>
    <row r="778" customFormat="false" ht="13" hidden="false" customHeight="false" outlineLevel="0" collapsed="false">
      <c r="B778" s="145"/>
      <c r="C778" s="86"/>
      <c r="D778" s="86"/>
    </row>
    <row r="779" customFormat="false" ht="13" hidden="false" customHeight="false" outlineLevel="0" collapsed="false">
      <c r="B779" s="145"/>
      <c r="C779" s="86"/>
      <c r="D779" s="86"/>
    </row>
    <row r="780" customFormat="false" ht="13" hidden="false" customHeight="false" outlineLevel="0" collapsed="false">
      <c r="B780" s="145"/>
      <c r="C780" s="86"/>
      <c r="D780" s="86"/>
    </row>
    <row r="781" customFormat="false" ht="13" hidden="false" customHeight="false" outlineLevel="0" collapsed="false">
      <c r="B781" s="145"/>
      <c r="C781" s="86"/>
      <c r="D781" s="86"/>
    </row>
    <row r="782" customFormat="false" ht="13" hidden="false" customHeight="false" outlineLevel="0" collapsed="false">
      <c r="B782" s="145"/>
      <c r="C782" s="86"/>
      <c r="D782" s="86"/>
    </row>
    <row r="783" customFormat="false" ht="13" hidden="false" customHeight="false" outlineLevel="0" collapsed="false">
      <c r="B783" s="145"/>
      <c r="C783" s="86"/>
      <c r="D783" s="86"/>
    </row>
    <row r="784" customFormat="false" ht="13" hidden="false" customHeight="false" outlineLevel="0" collapsed="false">
      <c r="B784" s="145"/>
      <c r="C784" s="86"/>
      <c r="D784" s="86"/>
    </row>
    <row r="785" customFormat="false" ht="13" hidden="false" customHeight="false" outlineLevel="0" collapsed="false">
      <c r="B785" s="145"/>
      <c r="C785" s="86"/>
      <c r="D785" s="86"/>
    </row>
    <row r="786" customFormat="false" ht="13" hidden="false" customHeight="false" outlineLevel="0" collapsed="false">
      <c r="B786" s="145"/>
      <c r="C786" s="86"/>
      <c r="D786" s="86"/>
    </row>
    <row r="787" customFormat="false" ht="13" hidden="false" customHeight="false" outlineLevel="0" collapsed="false">
      <c r="B787" s="145"/>
      <c r="C787" s="86"/>
      <c r="D787" s="86"/>
    </row>
    <row r="788" customFormat="false" ht="13" hidden="false" customHeight="false" outlineLevel="0" collapsed="false">
      <c r="B788" s="145"/>
      <c r="C788" s="86"/>
      <c r="D788" s="86"/>
    </row>
    <row r="789" customFormat="false" ht="13" hidden="false" customHeight="false" outlineLevel="0" collapsed="false">
      <c r="B789" s="145"/>
      <c r="C789" s="86"/>
      <c r="D789" s="86"/>
    </row>
    <row r="790" customFormat="false" ht="13" hidden="false" customHeight="false" outlineLevel="0" collapsed="false">
      <c r="B790" s="145"/>
      <c r="C790" s="86"/>
      <c r="D790" s="86"/>
    </row>
    <row r="791" customFormat="false" ht="13" hidden="false" customHeight="false" outlineLevel="0" collapsed="false">
      <c r="B791" s="145"/>
      <c r="C791" s="86"/>
      <c r="D791" s="86"/>
    </row>
    <row r="792" customFormat="false" ht="13" hidden="false" customHeight="false" outlineLevel="0" collapsed="false">
      <c r="B792" s="145"/>
      <c r="C792" s="86"/>
      <c r="D792" s="86"/>
    </row>
    <row r="793" customFormat="false" ht="13" hidden="false" customHeight="false" outlineLevel="0" collapsed="false">
      <c r="B793" s="145"/>
      <c r="C793" s="86"/>
      <c r="D793" s="86"/>
    </row>
    <row r="794" customFormat="false" ht="13" hidden="false" customHeight="false" outlineLevel="0" collapsed="false">
      <c r="B794" s="145"/>
      <c r="C794" s="86"/>
      <c r="D794" s="86"/>
    </row>
    <row r="795" customFormat="false" ht="13" hidden="false" customHeight="false" outlineLevel="0" collapsed="false">
      <c r="B795" s="145"/>
      <c r="C795" s="86"/>
      <c r="D795" s="86"/>
    </row>
    <row r="796" customFormat="false" ht="13" hidden="false" customHeight="false" outlineLevel="0" collapsed="false">
      <c r="B796" s="145"/>
      <c r="C796" s="86"/>
      <c r="D796" s="86"/>
    </row>
    <row r="797" customFormat="false" ht="13" hidden="false" customHeight="false" outlineLevel="0" collapsed="false">
      <c r="B797" s="145"/>
      <c r="C797" s="86"/>
      <c r="D797" s="86"/>
    </row>
    <row r="798" customFormat="false" ht="13" hidden="false" customHeight="false" outlineLevel="0" collapsed="false">
      <c r="B798" s="145"/>
      <c r="C798" s="86"/>
      <c r="D798" s="86"/>
    </row>
    <row r="799" customFormat="false" ht="13" hidden="false" customHeight="false" outlineLevel="0" collapsed="false">
      <c r="B799" s="145"/>
      <c r="C799" s="86"/>
      <c r="D799" s="86"/>
    </row>
    <row r="800" customFormat="false" ht="13" hidden="false" customHeight="false" outlineLevel="0" collapsed="false">
      <c r="B800" s="145"/>
      <c r="C800" s="86"/>
      <c r="D800" s="86"/>
    </row>
    <row r="801" customFormat="false" ht="13" hidden="false" customHeight="false" outlineLevel="0" collapsed="false">
      <c r="B801" s="145"/>
      <c r="C801" s="86"/>
      <c r="D801" s="86"/>
    </row>
    <row r="802" customFormat="false" ht="13" hidden="false" customHeight="false" outlineLevel="0" collapsed="false">
      <c r="B802" s="145"/>
      <c r="C802" s="86"/>
      <c r="D802" s="86"/>
    </row>
    <row r="803" customFormat="false" ht="13" hidden="false" customHeight="false" outlineLevel="0" collapsed="false">
      <c r="B803" s="145"/>
      <c r="C803" s="86"/>
      <c r="D803" s="86"/>
    </row>
    <row r="804" customFormat="false" ht="13" hidden="false" customHeight="false" outlineLevel="0" collapsed="false">
      <c r="B804" s="145"/>
      <c r="C804" s="86"/>
      <c r="D804" s="86"/>
    </row>
    <row r="805" customFormat="false" ht="13" hidden="false" customHeight="false" outlineLevel="0" collapsed="false">
      <c r="B805" s="145"/>
      <c r="C805" s="86"/>
      <c r="D805" s="86"/>
    </row>
    <row r="806" customFormat="false" ht="13" hidden="false" customHeight="false" outlineLevel="0" collapsed="false">
      <c r="B806" s="145"/>
      <c r="C806" s="86"/>
      <c r="D806" s="86"/>
    </row>
    <row r="807" customFormat="false" ht="13" hidden="false" customHeight="false" outlineLevel="0" collapsed="false">
      <c r="B807" s="145"/>
      <c r="C807" s="86"/>
      <c r="D807" s="86"/>
    </row>
    <row r="808" customFormat="false" ht="13" hidden="false" customHeight="false" outlineLevel="0" collapsed="false">
      <c r="B808" s="145"/>
      <c r="C808" s="86"/>
      <c r="D808" s="86"/>
    </row>
    <row r="809" customFormat="false" ht="13" hidden="false" customHeight="false" outlineLevel="0" collapsed="false">
      <c r="B809" s="145"/>
      <c r="C809" s="86"/>
      <c r="D809" s="86"/>
    </row>
    <row r="810" customFormat="false" ht="13" hidden="false" customHeight="false" outlineLevel="0" collapsed="false">
      <c r="B810" s="145"/>
      <c r="C810" s="86"/>
      <c r="D810" s="86"/>
    </row>
    <row r="811" customFormat="false" ht="13" hidden="false" customHeight="false" outlineLevel="0" collapsed="false">
      <c r="B811" s="145"/>
      <c r="C811" s="86"/>
      <c r="D811" s="86"/>
    </row>
    <row r="812" customFormat="false" ht="13" hidden="false" customHeight="false" outlineLevel="0" collapsed="false">
      <c r="B812" s="145"/>
      <c r="C812" s="86"/>
      <c r="D812" s="86"/>
    </row>
    <row r="813" customFormat="false" ht="13" hidden="false" customHeight="false" outlineLevel="0" collapsed="false">
      <c r="B813" s="145"/>
      <c r="C813" s="86"/>
      <c r="D813" s="86"/>
    </row>
    <row r="814" customFormat="false" ht="13" hidden="false" customHeight="false" outlineLevel="0" collapsed="false">
      <c r="B814" s="145"/>
      <c r="C814" s="86"/>
      <c r="D814" s="86"/>
    </row>
    <row r="815" customFormat="false" ht="13" hidden="false" customHeight="false" outlineLevel="0" collapsed="false">
      <c r="B815" s="145"/>
      <c r="C815" s="86"/>
      <c r="D815" s="86"/>
    </row>
    <row r="816" customFormat="false" ht="13" hidden="false" customHeight="false" outlineLevel="0" collapsed="false">
      <c r="B816" s="145"/>
      <c r="C816" s="86"/>
      <c r="D816" s="86"/>
    </row>
    <row r="817" customFormat="false" ht="13" hidden="false" customHeight="false" outlineLevel="0" collapsed="false">
      <c r="B817" s="145"/>
      <c r="C817" s="86"/>
      <c r="D817" s="86"/>
    </row>
    <row r="818" customFormat="false" ht="13" hidden="false" customHeight="false" outlineLevel="0" collapsed="false">
      <c r="B818" s="145"/>
      <c r="C818" s="86"/>
      <c r="D818" s="86"/>
    </row>
    <row r="819" customFormat="false" ht="13" hidden="false" customHeight="false" outlineLevel="0" collapsed="false">
      <c r="B819" s="145"/>
      <c r="C819" s="86"/>
      <c r="D819" s="86"/>
    </row>
    <row r="820" customFormat="false" ht="13" hidden="false" customHeight="false" outlineLevel="0" collapsed="false">
      <c r="B820" s="145"/>
      <c r="C820" s="86"/>
      <c r="D820" s="86"/>
    </row>
    <row r="821" customFormat="false" ht="13" hidden="false" customHeight="false" outlineLevel="0" collapsed="false">
      <c r="B821" s="145"/>
      <c r="C821" s="86"/>
      <c r="D821" s="86"/>
    </row>
    <row r="822" customFormat="false" ht="13" hidden="false" customHeight="false" outlineLevel="0" collapsed="false">
      <c r="B822" s="145"/>
      <c r="C822" s="86"/>
      <c r="D822" s="86"/>
    </row>
    <row r="823" customFormat="false" ht="13" hidden="false" customHeight="false" outlineLevel="0" collapsed="false">
      <c r="B823" s="145"/>
      <c r="C823" s="86"/>
      <c r="D823" s="86"/>
    </row>
    <row r="824" customFormat="false" ht="13" hidden="false" customHeight="false" outlineLevel="0" collapsed="false">
      <c r="B824" s="145"/>
      <c r="C824" s="86"/>
      <c r="D824" s="86"/>
    </row>
    <row r="825" customFormat="false" ht="13" hidden="false" customHeight="false" outlineLevel="0" collapsed="false">
      <c r="B825" s="145"/>
      <c r="C825" s="86"/>
      <c r="D825" s="86"/>
    </row>
    <row r="826" customFormat="false" ht="13" hidden="false" customHeight="false" outlineLevel="0" collapsed="false">
      <c r="B826" s="145"/>
      <c r="C826" s="86"/>
      <c r="D826" s="86"/>
    </row>
    <row r="827" customFormat="false" ht="13" hidden="false" customHeight="false" outlineLevel="0" collapsed="false">
      <c r="B827" s="145"/>
      <c r="C827" s="86"/>
      <c r="D827" s="86"/>
    </row>
    <row r="828" customFormat="false" ht="13" hidden="false" customHeight="false" outlineLevel="0" collapsed="false">
      <c r="B828" s="145"/>
      <c r="C828" s="86"/>
      <c r="D828" s="86"/>
    </row>
    <row r="829" customFormat="false" ht="13" hidden="false" customHeight="false" outlineLevel="0" collapsed="false">
      <c r="B829" s="145"/>
      <c r="C829" s="86"/>
      <c r="D829" s="86"/>
    </row>
    <row r="830" customFormat="false" ht="13" hidden="false" customHeight="false" outlineLevel="0" collapsed="false">
      <c r="B830" s="145"/>
      <c r="C830" s="86"/>
      <c r="D830" s="86"/>
    </row>
    <row r="831" customFormat="false" ht="13" hidden="false" customHeight="false" outlineLevel="0" collapsed="false">
      <c r="B831" s="145"/>
      <c r="C831" s="86"/>
      <c r="D831" s="86"/>
    </row>
    <row r="832" customFormat="false" ht="13" hidden="false" customHeight="false" outlineLevel="0" collapsed="false">
      <c r="B832" s="145"/>
      <c r="C832" s="86"/>
      <c r="D832" s="86"/>
    </row>
    <row r="833" customFormat="false" ht="13" hidden="false" customHeight="false" outlineLevel="0" collapsed="false">
      <c r="B833" s="145"/>
      <c r="C833" s="86"/>
      <c r="D833" s="86"/>
    </row>
    <row r="834" customFormat="false" ht="13" hidden="false" customHeight="false" outlineLevel="0" collapsed="false">
      <c r="B834" s="145"/>
      <c r="C834" s="86"/>
      <c r="D834" s="86"/>
    </row>
    <row r="835" customFormat="false" ht="13" hidden="false" customHeight="false" outlineLevel="0" collapsed="false">
      <c r="B835" s="145"/>
      <c r="C835" s="86"/>
      <c r="D835" s="86"/>
    </row>
    <row r="836" customFormat="false" ht="13" hidden="false" customHeight="false" outlineLevel="0" collapsed="false">
      <c r="B836" s="145"/>
      <c r="C836" s="86"/>
      <c r="D836" s="86"/>
    </row>
    <row r="837" customFormat="false" ht="13" hidden="false" customHeight="false" outlineLevel="0" collapsed="false">
      <c r="B837" s="145"/>
      <c r="C837" s="86"/>
      <c r="D837" s="86"/>
    </row>
    <row r="838" customFormat="false" ht="13" hidden="false" customHeight="false" outlineLevel="0" collapsed="false">
      <c r="B838" s="145"/>
      <c r="C838" s="86"/>
      <c r="D838" s="86"/>
    </row>
    <row r="839" customFormat="false" ht="13" hidden="false" customHeight="false" outlineLevel="0" collapsed="false">
      <c r="B839" s="145"/>
      <c r="C839" s="86"/>
      <c r="D839" s="86"/>
    </row>
    <row r="840" customFormat="false" ht="13" hidden="false" customHeight="false" outlineLevel="0" collapsed="false">
      <c r="B840" s="145"/>
      <c r="C840" s="86"/>
      <c r="D840" s="86"/>
    </row>
    <row r="841" customFormat="false" ht="13" hidden="false" customHeight="false" outlineLevel="0" collapsed="false">
      <c r="B841" s="145"/>
      <c r="C841" s="86"/>
      <c r="D841" s="86"/>
    </row>
    <row r="842" customFormat="false" ht="13" hidden="false" customHeight="false" outlineLevel="0" collapsed="false">
      <c r="B842" s="145"/>
      <c r="C842" s="86"/>
      <c r="D842" s="86"/>
    </row>
    <row r="843" customFormat="false" ht="13" hidden="false" customHeight="false" outlineLevel="0" collapsed="false">
      <c r="B843" s="145"/>
      <c r="C843" s="86"/>
      <c r="D843" s="86"/>
    </row>
    <row r="844" customFormat="false" ht="13" hidden="false" customHeight="false" outlineLevel="0" collapsed="false">
      <c r="B844" s="145"/>
      <c r="C844" s="86"/>
      <c r="D844" s="86"/>
    </row>
    <row r="845" customFormat="false" ht="13" hidden="false" customHeight="false" outlineLevel="0" collapsed="false">
      <c r="B845" s="145"/>
      <c r="C845" s="86"/>
      <c r="D845" s="86"/>
    </row>
    <row r="846" customFormat="false" ht="13" hidden="false" customHeight="false" outlineLevel="0" collapsed="false">
      <c r="B846" s="145"/>
      <c r="C846" s="86"/>
      <c r="D846" s="86"/>
    </row>
    <row r="847" customFormat="false" ht="13" hidden="false" customHeight="false" outlineLevel="0" collapsed="false">
      <c r="B847" s="145"/>
      <c r="C847" s="86"/>
      <c r="D847" s="86"/>
    </row>
    <row r="848" customFormat="false" ht="13" hidden="false" customHeight="false" outlineLevel="0" collapsed="false">
      <c r="B848" s="145"/>
      <c r="C848" s="86"/>
      <c r="D848" s="86"/>
    </row>
    <row r="849" customFormat="false" ht="13" hidden="false" customHeight="false" outlineLevel="0" collapsed="false">
      <c r="B849" s="145"/>
      <c r="C849" s="86"/>
      <c r="D849" s="86"/>
    </row>
    <row r="850" customFormat="false" ht="13" hidden="false" customHeight="false" outlineLevel="0" collapsed="false">
      <c r="B850" s="145"/>
      <c r="C850" s="86"/>
      <c r="D850" s="86"/>
    </row>
    <row r="851" customFormat="false" ht="13" hidden="false" customHeight="false" outlineLevel="0" collapsed="false">
      <c r="B851" s="145"/>
      <c r="C851" s="86"/>
      <c r="D851" s="86"/>
    </row>
    <row r="852" customFormat="false" ht="13" hidden="false" customHeight="false" outlineLevel="0" collapsed="false">
      <c r="B852" s="145"/>
      <c r="C852" s="86"/>
      <c r="D852" s="86"/>
    </row>
    <row r="853" customFormat="false" ht="13" hidden="false" customHeight="false" outlineLevel="0" collapsed="false">
      <c r="B853" s="145"/>
      <c r="C853" s="86"/>
      <c r="D853" s="86"/>
    </row>
    <row r="854" customFormat="false" ht="13" hidden="false" customHeight="false" outlineLevel="0" collapsed="false">
      <c r="B854" s="145"/>
      <c r="C854" s="86"/>
      <c r="D854" s="86"/>
    </row>
    <row r="855" customFormat="false" ht="13" hidden="false" customHeight="false" outlineLevel="0" collapsed="false">
      <c r="B855" s="145"/>
      <c r="C855" s="86"/>
      <c r="D855" s="86"/>
    </row>
    <row r="856" customFormat="false" ht="13" hidden="false" customHeight="false" outlineLevel="0" collapsed="false">
      <c r="B856" s="145"/>
      <c r="C856" s="86"/>
      <c r="D856" s="86"/>
    </row>
    <row r="857" customFormat="false" ht="13" hidden="false" customHeight="false" outlineLevel="0" collapsed="false">
      <c r="B857" s="145"/>
      <c r="C857" s="86"/>
      <c r="D857" s="86"/>
    </row>
    <row r="858" customFormat="false" ht="13" hidden="false" customHeight="false" outlineLevel="0" collapsed="false">
      <c r="B858" s="145"/>
      <c r="C858" s="86"/>
      <c r="D858" s="86"/>
    </row>
    <row r="859" customFormat="false" ht="13" hidden="false" customHeight="false" outlineLevel="0" collapsed="false">
      <c r="B859" s="145"/>
      <c r="C859" s="86"/>
      <c r="D859" s="86"/>
    </row>
    <row r="860" customFormat="false" ht="13" hidden="false" customHeight="false" outlineLevel="0" collapsed="false">
      <c r="B860" s="145"/>
      <c r="C860" s="86"/>
      <c r="D860" s="86"/>
    </row>
    <row r="861" customFormat="false" ht="13" hidden="false" customHeight="false" outlineLevel="0" collapsed="false">
      <c r="B861" s="145"/>
      <c r="C861" s="86"/>
      <c r="D861" s="86"/>
    </row>
    <row r="862" customFormat="false" ht="13" hidden="false" customHeight="false" outlineLevel="0" collapsed="false">
      <c r="B862" s="145"/>
      <c r="C862" s="86"/>
      <c r="D862" s="86"/>
    </row>
    <row r="863" customFormat="false" ht="13" hidden="false" customHeight="false" outlineLevel="0" collapsed="false">
      <c r="B863" s="145"/>
      <c r="C863" s="86"/>
      <c r="D863" s="86"/>
    </row>
    <row r="864" customFormat="false" ht="13" hidden="false" customHeight="false" outlineLevel="0" collapsed="false">
      <c r="B864" s="145"/>
      <c r="C864" s="86"/>
      <c r="D864" s="86"/>
    </row>
    <row r="865" customFormat="false" ht="13" hidden="false" customHeight="false" outlineLevel="0" collapsed="false">
      <c r="B865" s="145"/>
      <c r="C865" s="86"/>
      <c r="D865" s="86"/>
    </row>
    <row r="866" customFormat="false" ht="13" hidden="false" customHeight="false" outlineLevel="0" collapsed="false">
      <c r="B866" s="145"/>
      <c r="C866" s="86"/>
      <c r="D866" s="86"/>
    </row>
    <row r="867" customFormat="false" ht="13" hidden="false" customHeight="false" outlineLevel="0" collapsed="false">
      <c r="B867" s="145"/>
      <c r="C867" s="86"/>
      <c r="D867" s="86"/>
    </row>
    <row r="868" customFormat="false" ht="13" hidden="false" customHeight="false" outlineLevel="0" collapsed="false">
      <c r="B868" s="145"/>
      <c r="C868" s="86"/>
      <c r="D868" s="86"/>
    </row>
    <row r="869" customFormat="false" ht="13" hidden="false" customHeight="false" outlineLevel="0" collapsed="false">
      <c r="B869" s="145"/>
      <c r="C869" s="86"/>
      <c r="D869" s="86"/>
    </row>
    <row r="870" customFormat="false" ht="13" hidden="false" customHeight="false" outlineLevel="0" collapsed="false">
      <c r="B870" s="145"/>
      <c r="C870" s="86"/>
      <c r="D870" s="86"/>
    </row>
    <row r="871" customFormat="false" ht="13" hidden="false" customHeight="false" outlineLevel="0" collapsed="false">
      <c r="B871" s="145"/>
      <c r="C871" s="86"/>
      <c r="D871" s="86"/>
    </row>
    <row r="872" customFormat="false" ht="13" hidden="false" customHeight="false" outlineLevel="0" collapsed="false">
      <c r="B872" s="145"/>
      <c r="C872" s="86"/>
      <c r="D872" s="86"/>
    </row>
    <row r="873" customFormat="false" ht="13" hidden="false" customHeight="false" outlineLevel="0" collapsed="false">
      <c r="B873" s="145"/>
      <c r="C873" s="86"/>
      <c r="D873" s="86"/>
    </row>
    <row r="874" customFormat="false" ht="13" hidden="false" customHeight="false" outlineLevel="0" collapsed="false">
      <c r="B874" s="145"/>
      <c r="C874" s="86"/>
      <c r="D874" s="86"/>
    </row>
    <row r="875" customFormat="false" ht="13" hidden="false" customHeight="false" outlineLevel="0" collapsed="false">
      <c r="B875" s="145"/>
      <c r="C875" s="86"/>
      <c r="D875" s="86"/>
    </row>
    <row r="876" customFormat="false" ht="13" hidden="false" customHeight="false" outlineLevel="0" collapsed="false">
      <c r="B876" s="145"/>
      <c r="C876" s="86"/>
      <c r="D876" s="86"/>
    </row>
    <row r="877" customFormat="false" ht="13" hidden="false" customHeight="false" outlineLevel="0" collapsed="false">
      <c r="B877" s="145"/>
      <c r="C877" s="86"/>
      <c r="D877" s="86"/>
    </row>
    <row r="878" customFormat="false" ht="13" hidden="false" customHeight="false" outlineLevel="0" collapsed="false">
      <c r="B878" s="145"/>
      <c r="C878" s="86"/>
      <c r="D878" s="86"/>
    </row>
    <row r="879" customFormat="false" ht="13" hidden="false" customHeight="false" outlineLevel="0" collapsed="false">
      <c r="B879" s="145"/>
      <c r="C879" s="86"/>
      <c r="D879" s="86"/>
    </row>
    <row r="880" customFormat="false" ht="13" hidden="false" customHeight="false" outlineLevel="0" collapsed="false">
      <c r="B880" s="145"/>
      <c r="C880" s="86"/>
      <c r="D880" s="86"/>
    </row>
    <row r="881" customFormat="false" ht="13" hidden="false" customHeight="false" outlineLevel="0" collapsed="false">
      <c r="B881" s="145"/>
      <c r="C881" s="86"/>
      <c r="D881" s="86"/>
    </row>
    <row r="882" customFormat="false" ht="13" hidden="false" customHeight="false" outlineLevel="0" collapsed="false">
      <c r="B882" s="145"/>
      <c r="C882" s="86"/>
      <c r="D882" s="86"/>
    </row>
    <row r="883" customFormat="false" ht="13" hidden="false" customHeight="false" outlineLevel="0" collapsed="false">
      <c r="B883" s="145"/>
      <c r="C883" s="86"/>
      <c r="D883" s="86"/>
    </row>
    <row r="884" customFormat="false" ht="13" hidden="false" customHeight="false" outlineLevel="0" collapsed="false">
      <c r="B884" s="145"/>
      <c r="C884" s="86"/>
      <c r="D884" s="86"/>
    </row>
    <row r="885" customFormat="false" ht="13" hidden="false" customHeight="false" outlineLevel="0" collapsed="false">
      <c r="B885" s="145"/>
      <c r="C885" s="86"/>
      <c r="D885" s="86"/>
    </row>
    <row r="886" customFormat="false" ht="13" hidden="false" customHeight="false" outlineLevel="0" collapsed="false">
      <c r="B886" s="145"/>
      <c r="C886" s="86"/>
      <c r="D886" s="86"/>
    </row>
    <row r="887" customFormat="false" ht="13" hidden="false" customHeight="false" outlineLevel="0" collapsed="false">
      <c r="B887" s="145"/>
      <c r="C887" s="86"/>
      <c r="D887" s="86"/>
    </row>
    <row r="888" customFormat="false" ht="13" hidden="false" customHeight="false" outlineLevel="0" collapsed="false">
      <c r="B888" s="145"/>
      <c r="C888" s="86"/>
      <c r="D888" s="86"/>
    </row>
    <row r="889" customFormat="false" ht="13" hidden="false" customHeight="false" outlineLevel="0" collapsed="false">
      <c r="B889" s="145"/>
      <c r="C889" s="86"/>
      <c r="D889" s="86"/>
    </row>
    <row r="890" customFormat="false" ht="13" hidden="false" customHeight="false" outlineLevel="0" collapsed="false">
      <c r="B890" s="145"/>
      <c r="C890" s="86"/>
      <c r="D890" s="86"/>
    </row>
    <row r="891" customFormat="false" ht="13" hidden="false" customHeight="false" outlineLevel="0" collapsed="false">
      <c r="B891" s="145"/>
      <c r="C891" s="86"/>
      <c r="D891" s="86"/>
    </row>
    <row r="892" customFormat="false" ht="13" hidden="false" customHeight="false" outlineLevel="0" collapsed="false">
      <c r="B892" s="145"/>
      <c r="C892" s="86"/>
      <c r="D892" s="86"/>
    </row>
    <row r="893" customFormat="false" ht="13" hidden="false" customHeight="false" outlineLevel="0" collapsed="false">
      <c r="B893" s="145"/>
      <c r="C893" s="86"/>
      <c r="D893" s="86"/>
    </row>
    <row r="894" customFormat="false" ht="13" hidden="false" customHeight="false" outlineLevel="0" collapsed="false">
      <c r="B894" s="145"/>
      <c r="C894" s="86"/>
      <c r="D894" s="86"/>
    </row>
    <row r="895" customFormat="false" ht="13" hidden="false" customHeight="false" outlineLevel="0" collapsed="false">
      <c r="B895" s="145"/>
      <c r="C895" s="86"/>
      <c r="D895" s="86"/>
    </row>
    <row r="896" customFormat="false" ht="13" hidden="false" customHeight="false" outlineLevel="0" collapsed="false">
      <c r="B896" s="145"/>
      <c r="C896" s="86"/>
      <c r="D896" s="86"/>
    </row>
    <row r="897" customFormat="false" ht="13" hidden="false" customHeight="false" outlineLevel="0" collapsed="false">
      <c r="B897" s="145"/>
      <c r="C897" s="86"/>
      <c r="D897" s="86"/>
    </row>
    <row r="898" customFormat="false" ht="13" hidden="false" customHeight="false" outlineLevel="0" collapsed="false">
      <c r="B898" s="145"/>
      <c r="C898" s="86"/>
      <c r="D898" s="86"/>
    </row>
    <row r="899" customFormat="false" ht="13" hidden="false" customHeight="false" outlineLevel="0" collapsed="false">
      <c r="B899" s="145"/>
      <c r="C899" s="86"/>
      <c r="D899" s="86"/>
    </row>
    <row r="900" customFormat="false" ht="13" hidden="false" customHeight="false" outlineLevel="0" collapsed="false">
      <c r="B900" s="145"/>
      <c r="C900" s="86"/>
      <c r="D900" s="86"/>
    </row>
    <row r="901" customFormat="false" ht="13" hidden="false" customHeight="false" outlineLevel="0" collapsed="false">
      <c r="B901" s="145"/>
      <c r="C901" s="86"/>
      <c r="D901" s="86"/>
    </row>
    <row r="902" customFormat="false" ht="13" hidden="false" customHeight="false" outlineLevel="0" collapsed="false">
      <c r="B902" s="145"/>
      <c r="C902" s="86"/>
      <c r="D902" s="86"/>
    </row>
    <row r="903" customFormat="false" ht="13" hidden="false" customHeight="false" outlineLevel="0" collapsed="false">
      <c r="B903" s="145"/>
      <c r="C903" s="86"/>
      <c r="D903" s="86"/>
    </row>
    <row r="904" customFormat="false" ht="13" hidden="false" customHeight="false" outlineLevel="0" collapsed="false">
      <c r="B904" s="145"/>
      <c r="C904" s="86"/>
      <c r="D904" s="86"/>
    </row>
    <row r="905" customFormat="false" ht="13" hidden="false" customHeight="false" outlineLevel="0" collapsed="false">
      <c r="B905" s="145"/>
      <c r="C905" s="86"/>
      <c r="D905" s="86"/>
    </row>
    <row r="906" customFormat="false" ht="13" hidden="false" customHeight="false" outlineLevel="0" collapsed="false">
      <c r="B906" s="145"/>
      <c r="C906" s="86"/>
      <c r="D906" s="86"/>
    </row>
    <row r="907" customFormat="false" ht="13" hidden="false" customHeight="false" outlineLevel="0" collapsed="false">
      <c r="B907" s="145"/>
      <c r="C907" s="86"/>
      <c r="D907" s="86"/>
    </row>
    <row r="908" customFormat="false" ht="13" hidden="false" customHeight="false" outlineLevel="0" collapsed="false">
      <c r="B908" s="145"/>
      <c r="C908" s="86"/>
      <c r="D908" s="86"/>
    </row>
    <row r="909" customFormat="false" ht="13" hidden="false" customHeight="false" outlineLevel="0" collapsed="false">
      <c r="B909" s="145"/>
      <c r="C909" s="86"/>
      <c r="D909" s="86"/>
    </row>
    <row r="910" customFormat="false" ht="13" hidden="false" customHeight="false" outlineLevel="0" collapsed="false">
      <c r="B910" s="145"/>
      <c r="C910" s="86"/>
      <c r="D910" s="86"/>
    </row>
    <row r="911" customFormat="false" ht="13" hidden="false" customHeight="false" outlineLevel="0" collapsed="false">
      <c r="B911" s="145"/>
      <c r="C911" s="86"/>
      <c r="D911" s="86"/>
    </row>
    <row r="912" customFormat="false" ht="13" hidden="false" customHeight="false" outlineLevel="0" collapsed="false">
      <c r="B912" s="145"/>
      <c r="C912" s="86"/>
      <c r="D912" s="86"/>
    </row>
    <row r="913" customFormat="false" ht="13" hidden="false" customHeight="false" outlineLevel="0" collapsed="false">
      <c r="B913" s="145"/>
      <c r="C913" s="86"/>
      <c r="D913" s="86"/>
    </row>
    <row r="914" customFormat="false" ht="13" hidden="false" customHeight="false" outlineLevel="0" collapsed="false">
      <c r="B914" s="145"/>
      <c r="C914" s="86"/>
      <c r="D914" s="86"/>
    </row>
    <row r="915" customFormat="false" ht="13" hidden="false" customHeight="false" outlineLevel="0" collapsed="false">
      <c r="B915" s="145"/>
      <c r="C915" s="86"/>
      <c r="D915" s="86"/>
    </row>
    <row r="916" customFormat="false" ht="13" hidden="false" customHeight="false" outlineLevel="0" collapsed="false">
      <c r="B916" s="145"/>
      <c r="C916" s="86"/>
      <c r="D916" s="86"/>
    </row>
    <row r="917" customFormat="false" ht="13" hidden="false" customHeight="false" outlineLevel="0" collapsed="false">
      <c r="B917" s="145"/>
      <c r="C917" s="86"/>
      <c r="D917" s="86"/>
    </row>
    <row r="918" customFormat="false" ht="13" hidden="false" customHeight="false" outlineLevel="0" collapsed="false">
      <c r="B918" s="145"/>
      <c r="C918" s="86"/>
      <c r="D918" s="86"/>
    </row>
    <row r="919" customFormat="false" ht="13" hidden="false" customHeight="false" outlineLevel="0" collapsed="false">
      <c r="B919" s="145"/>
      <c r="C919" s="86"/>
      <c r="D919" s="86"/>
    </row>
    <row r="920" customFormat="false" ht="13" hidden="false" customHeight="false" outlineLevel="0" collapsed="false">
      <c r="B920" s="145"/>
      <c r="C920" s="86"/>
      <c r="D920" s="86"/>
    </row>
    <row r="921" customFormat="false" ht="13" hidden="false" customHeight="false" outlineLevel="0" collapsed="false">
      <c r="B921" s="145"/>
      <c r="C921" s="86"/>
      <c r="D921" s="86"/>
    </row>
    <row r="922" customFormat="false" ht="13" hidden="false" customHeight="false" outlineLevel="0" collapsed="false">
      <c r="B922" s="145"/>
      <c r="C922" s="86"/>
      <c r="D922" s="86"/>
    </row>
    <row r="923" customFormat="false" ht="13" hidden="false" customHeight="false" outlineLevel="0" collapsed="false">
      <c r="B923" s="145"/>
      <c r="C923" s="86"/>
      <c r="D923" s="86"/>
    </row>
    <row r="924" customFormat="false" ht="13" hidden="false" customHeight="false" outlineLevel="0" collapsed="false">
      <c r="B924" s="145"/>
      <c r="C924" s="86"/>
      <c r="D924" s="86"/>
    </row>
    <row r="925" customFormat="false" ht="13" hidden="false" customHeight="false" outlineLevel="0" collapsed="false">
      <c r="B925" s="145"/>
      <c r="C925" s="86"/>
      <c r="D925" s="86"/>
    </row>
    <row r="926" customFormat="false" ht="13" hidden="false" customHeight="false" outlineLevel="0" collapsed="false">
      <c r="B926" s="145"/>
      <c r="C926" s="86"/>
      <c r="D926" s="86"/>
    </row>
    <row r="927" customFormat="false" ht="13" hidden="false" customHeight="false" outlineLevel="0" collapsed="false">
      <c r="B927" s="145"/>
      <c r="C927" s="86"/>
      <c r="D927" s="86"/>
    </row>
    <row r="928" customFormat="false" ht="13" hidden="false" customHeight="false" outlineLevel="0" collapsed="false">
      <c r="B928" s="145"/>
      <c r="C928" s="86"/>
      <c r="D928" s="86"/>
    </row>
    <row r="929" customFormat="false" ht="13" hidden="false" customHeight="false" outlineLevel="0" collapsed="false">
      <c r="B929" s="145"/>
      <c r="C929" s="86"/>
      <c r="D929" s="86"/>
    </row>
    <row r="930" customFormat="false" ht="13" hidden="false" customHeight="false" outlineLevel="0" collapsed="false">
      <c r="B930" s="145"/>
      <c r="C930" s="86"/>
      <c r="D930" s="86"/>
    </row>
    <row r="931" customFormat="false" ht="13" hidden="false" customHeight="false" outlineLevel="0" collapsed="false">
      <c r="B931" s="145"/>
      <c r="C931" s="86"/>
      <c r="D931" s="86"/>
    </row>
    <row r="932" customFormat="false" ht="13" hidden="false" customHeight="false" outlineLevel="0" collapsed="false">
      <c r="B932" s="145"/>
      <c r="C932" s="86"/>
      <c r="D932" s="86"/>
    </row>
    <row r="933" customFormat="false" ht="13" hidden="false" customHeight="false" outlineLevel="0" collapsed="false">
      <c r="B933" s="145"/>
      <c r="C933" s="86"/>
      <c r="D933" s="86"/>
    </row>
    <row r="934" customFormat="false" ht="13" hidden="false" customHeight="false" outlineLevel="0" collapsed="false">
      <c r="B934" s="145"/>
      <c r="C934" s="86"/>
      <c r="D934" s="86"/>
    </row>
    <row r="935" customFormat="false" ht="13" hidden="false" customHeight="false" outlineLevel="0" collapsed="false">
      <c r="B935" s="145"/>
      <c r="C935" s="86"/>
      <c r="D935" s="86"/>
    </row>
    <row r="936" customFormat="false" ht="13" hidden="false" customHeight="false" outlineLevel="0" collapsed="false">
      <c r="B936" s="145"/>
      <c r="C936" s="86"/>
      <c r="D936" s="86"/>
    </row>
    <row r="937" customFormat="false" ht="13" hidden="false" customHeight="false" outlineLevel="0" collapsed="false">
      <c r="B937" s="145"/>
      <c r="C937" s="86"/>
      <c r="D937" s="86"/>
    </row>
    <row r="938" customFormat="false" ht="13" hidden="false" customHeight="false" outlineLevel="0" collapsed="false">
      <c r="B938" s="145"/>
      <c r="C938" s="86"/>
      <c r="D938" s="86"/>
    </row>
    <row r="939" customFormat="false" ht="13" hidden="false" customHeight="false" outlineLevel="0" collapsed="false">
      <c r="B939" s="145"/>
      <c r="C939" s="86"/>
      <c r="D939" s="86"/>
    </row>
    <row r="940" customFormat="false" ht="13" hidden="false" customHeight="false" outlineLevel="0" collapsed="false">
      <c r="B940" s="145"/>
      <c r="C940" s="86"/>
      <c r="D940" s="86"/>
    </row>
    <row r="941" customFormat="false" ht="13" hidden="false" customHeight="false" outlineLevel="0" collapsed="false">
      <c r="B941" s="145"/>
      <c r="C941" s="86"/>
      <c r="D941" s="86"/>
    </row>
    <row r="942" customFormat="false" ht="13" hidden="false" customHeight="false" outlineLevel="0" collapsed="false">
      <c r="B942" s="145"/>
      <c r="C942" s="86"/>
      <c r="D942" s="86"/>
    </row>
    <row r="943" customFormat="false" ht="13" hidden="false" customHeight="false" outlineLevel="0" collapsed="false">
      <c r="B943" s="145"/>
      <c r="C943" s="86"/>
      <c r="D943" s="86"/>
    </row>
    <row r="944" customFormat="false" ht="13" hidden="false" customHeight="false" outlineLevel="0" collapsed="false">
      <c r="B944" s="145"/>
      <c r="C944" s="86"/>
      <c r="D944" s="86"/>
    </row>
    <row r="945" customFormat="false" ht="13" hidden="false" customHeight="false" outlineLevel="0" collapsed="false">
      <c r="B945" s="145"/>
      <c r="C945" s="86"/>
      <c r="D945" s="86"/>
    </row>
    <row r="946" customFormat="false" ht="13" hidden="false" customHeight="false" outlineLevel="0" collapsed="false">
      <c r="B946" s="145"/>
      <c r="C946" s="86"/>
      <c r="D946" s="86"/>
    </row>
    <row r="947" customFormat="false" ht="13" hidden="false" customHeight="false" outlineLevel="0" collapsed="false">
      <c r="B947" s="145"/>
      <c r="C947" s="86"/>
      <c r="D947" s="86"/>
    </row>
    <row r="948" customFormat="false" ht="13" hidden="false" customHeight="false" outlineLevel="0" collapsed="false">
      <c r="B948" s="145"/>
      <c r="C948" s="86"/>
      <c r="D948" s="86"/>
    </row>
    <row r="949" customFormat="false" ht="13" hidden="false" customHeight="false" outlineLevel="0" collapsed="false">
      <c r="B949" s="145"/>
      <c r="C949" s="86"/>
      <c r="D949" s="86"/>
    </row>
    <row r="950" customFormat="false" ht="13" hidden="false" customHeight="false" outlineLevel="0" collapsed="false">
      <c r="B950" s="145"/>
      <c r="C950" s="86"/>
      <c r="D950" s="86"/>
    </row>
    <row r="951" customFormat="false" ht="13" hidden="false" customHeight="false" outlineLevel="0" collapsed="false">
      <c r="B951" s="145"/>
      <c r="C951" s="86"/>
      <c r="D951" s="86"/>
    </row>
    <row r="952" customFormat="false" ht="13" hidden="false" customHeight="false" outlineLevel="0" collapsed="false">
      <c r="B952" s="145"/>
      <c r="C952" s="86"/>
      <c r="D952" s="86"/>
    </row>
    <row r="953" customFormat="false" ht="13" hidden="false" customHeight="false" outlineLevel="0" collapsed="false">
      <c r="B953" s="145"/>
      <c r="C953" s="86"/>
      <c r="D953" s="86"/>
    </row>
    <row r="954" customFormat="false" ht="13" hidden="false" customHeight="false" outlineLevel="0" collapsed="false">
      <c r="B954" s="145"/>
      <c r="C954" s="86"/>
      <c r="D954" s="86"/>
    </row>
    <row r="955" customFormat="false" ht="13" hidden="false" customHeight="false" outlineLevel="0" collapsed="false">
      <c r="B955" s="145"/>
      <c r="C955" s="86"/>
      <c r="D955" s="86"/>
    </row>
    <row r="956" customFormat="false" ht="13" hidden="false" customHeight="false" outlineLevel="0" collapsed="false">
      <c r="B956" s="145"/>
      <c r="C956" s="86"/>
      <c r="D956" s="86"/>
    </row>
    <row r="957" customFormat="false" ht="13" hidden="false" customHeight="false" outlineLevel="0" collapsed="false">
      <c r="B957" s="145"/>
      <c r="C957" s="86"/>
      <c r="D957" s="86"/>
    </row>
    <row r="958" customFormat="false" ht="13" hidden="false" customHeight="false" outlineLevel="0" collapsed="false">
      <c r="B958" s="145"/>
      <c r="C958" s="86"/>
      <c r="D958" s="86"/>
    </row>
    <row r="959" customFormat="false" ht="13" hidden="false" customHeight="false" outlineLevel="0" collapsed="false">
      <c r="B959" s="145"/>
      <c r="C959" s="86"/>
      <c r="D959" s="86"/>
    </row>
    <row r="960" customFormat="false" ht="13" hidden="false" customHeight="false" outlineLevel="0" collapsed="false">
      <c r="B960" s="145"/>
      <c r="C960" s="86"/>
      <c r="D960" s="86"/>
    </row>
    <row r="961" customFormat="false" ht="13" hidden="false" customHeight="false" outlineLevel="0" collapsed="false">
      <c r="B961" s="145"/>
      <c r="C961" s="86"/>
      <c r="D961" s="86"/>
    </row>
    <row r="962" customFormat="false" ht="13" hidden="false" customHeight="false" outlineLevel="0" collapsed="false">
      <c r="B962" s="145"/>
      <c r="C962" s="86"/>
      <c r="D962" s="86"/>
    </row>
    <row r="963" customFormat="false" ht="13" hidden="false" customHeight="false" outlineLevel="0" collapsed="false">
      <c r="B963" s="145"/>
      <c r="C963" s="86"/>
      <c r="D963" s="86"/>
    </row>
    <row r="964" customFormat="false" ht="13" hidden="false" customHeight="false" outlineLevel="0" collapsed="false">
      <c r="B964" s="145"/>
      <c r="C964" s="86"/>
      <c r="D964" s="86"/>
    </row>
    <row r="965" customFormat="false" ht="13" hidden="false" customHeight="false" outlineLevel="0" collapsed="false">
      <c r="B965" s="145"/>
      <c r="C965" s="86"/>
      <c r="D965" s="86"/>
    </row>
    <row r="966" customFormat="false" ht="13" hidden="false" customHeight="false" outlineLevel="0" collapsed="false">
      <c r="B966" s="145"/>
      <c r="C966" s="86"/>
      <c r="D966" s="86"/>
    </row>
    <row r="967" customFormat="false" ht="13" hidden="false" customHeight="false" outlineLevel="0" collapsed="false">
      <c r="B967" s="145"/>
      <c r="C967" s="86"/>
      <c r="D967" s="86"/>
    </row>
    <row r="968" customFormat="false" ht="13" hidden="false" customHeight="false" outlineLevel="0" collapsed="false">
      <c r="B968" s="145"/>
      <c r="C968" s="86"/>
      <c r="D968" s="86"/>
    </row>
    <row r="969" customFormat="false" ht="13" hidden="false" customHeight="false" outlineLevel="0" collapsed="false">
      <c r="B969" s="145"/>
      <c r="C969" s="86"/>
      <c r="D969" s="86"/>
    </row>
    <row r="970" customFormat="false" ht="13" hidden="false" customHeight="false" outlineLevel="0" collapsed="false">
      <c r="B970" s="145"/>
      <c r="C970" s="86"/>
      <c r="D970" s="86"/>
    </row>
    <row r="971" customFormat="false" ht="13" hidden="false" customHeight="false" outlineLevel="0" collapsed="false">
      <c r="B971" s="145"/>
      <c r="C971" s="86"/>
      <c r="D971" s="86"/>
    </row>
    <row r="972" customFormat="false" ht="13" hidden="false" customHeight="false" outlineLevel="0" collapsed="false">
      <c r="B972" s="145"/>
      <c r="C972" s="86"/>
      <c r="D972" s="86"/>
    </row>
    <row r="973" customFormat="false" ht="13" hidden="false" customHeight="false" outlineLevel="0" collapsed="false">
      <c r="B973" s="145"/>
      <c r="C973" s="86"/>
      <c r="D973" s="86"/>
    </row>
    <row r="974" customFormat="false" ht="13" hidden="false" customHeight="false" outlineLevel="0" collapsed="false">
      <c r="B974" s="145"/>
      <c r="C974" s="86"/>
      <c r="D974" s="86"/>
    </row>
    <row r="975" customFormat="false" ht="13" hidden="false" customHeight="false" outlineLevel="0" collapsed="false">
      <c r="B975" s="145"/>
      <c r="C975" s="86"/>
      <c r="D975" s="86"/>
    </row>
    <row r="976" customFormat="false" ht="13" hidden="false" customHeight="false" outlineLevel="0" collapsed="false">
      <c r="B976" s="145"/>
      <c r="C976" s="86"/>
      <c r="D976" s="86"/>
    </row>
    <row r="977" customFormat="false" ht="13" hidden="false" customHeight="false" outlineLevel="0" collapsed="false">
      <c r="B977" s="145"/>
      <c r="C977" s="86"/>
      <c r="D977" s="86"/>
    </row>
    <row r="978" customFormat="false" ht="13" hidden="false" customHeight="false" outlineLevel="0" collapsed="false">
      <c r="B978" s="145"/>
      <c r="C978" s="86"/>
      <c r="D978" s="86"/>
    </row>
    <row r="979" customFormat="false" ht="13" hidden="false" customHeight="false" outlineLevel="0" collapsed="false">
      <c r="B979" s="145"/>
      <c r="C979" s="86"/>
      <c r="D979" s="86"/>
    </row>
    <row r="980" customFormat="false" ht="13" hidden="false" customHeight="false" outlineLevel="0" collapsed="false">
      <c r="B980" s="145"/>
      <c r="C980" s="86"/>
      <c r="D980" s="86"/>
    </row>
    <row r="981" customFormat="false" ht="13" hidden="false" customHeight="false" outlineLevel="0" collapsed="false">
      <c r="B981" s="145"/>
      <c r="C981" s="86"/>
      <c r="D981" s="86"/>
    </row>
    <row r="982" customFormat="false" ht="13" hidden="false" customHeight="false" outlineLevel="0" collapsed="false">
      <c r="B982" s="145"/>
      <c r="C982" s="86"/>
      <c r="D982" s="86"/>
    </row>
    <row r="983" customFormat="false" ht="13" hidden="false" customHeight="false" outlineLevel="0" collapsed="false">
      <c r="B983" s="145"/>
      <c r="C983" s="86"/>
      <c r="D983" s="86"/>
    </row>
    <row r="984" customFormat="false" ht="13" hidden="false" customHeight="false" outlineLevel="0" collapsed="false">
      <c r="B984" s="145"/>
      <c r="C984" s="86"/>
      <c r="D984" s="86"/>
    </row>
    <row r="985" customFormat="false" ht="13" hidden="false" customHeight="false" outlineLevel="0" collapsed="false">
      <c r="B985" s="145"/>
      <c r="C985" s="86"/>
      <c r="D985" s="86"/>
    </row>
    <row r="986" customFormat="false" ht="13" hidden="false" customHeight="false" outlineLevel="0" collapsed="false">
      <c r="B986" s="145"/>
      <c r="C986" s="86"/>
      <c r="D986" s="86"/>
    </row>
    <row r="987" customFormat="false" ht="13" hidden="false" customHeight="false" outlineLevel="0" collapsed="false">
      <c r="B987" s="145"/>
      <c r="C987" s="86"/>
      <c r="D987" s="86"/>
    </row>
    <row r="988" customFormat="false" ht="13" hidden="false" customHeight="false" outlineLevel="0" collapsed="false">
      <c r="B988" s="145"/>
      <c r="C988" s="86"/>
      <c r="D988" s="86"/>
    </row>
    <row r="989" customFormat="false" ht="13" hidden="false" customHeight="false" outlineLevel="0" collapsed="false">
      <c r="B989" s="145"/>
      <c r="C989" s="86"/>
      <c r="D989" s="86"/>
    </row>
    <row r="990" customFormat="false" ht="13" hidden="false" customHeight="false" outlineLevel="0" collapsed="false">
      <c r="B990" s="145"/>
      <c r="C990" s="86"/>
      <c r="D990" s="86"/>
    </row>
    <row r="991" customFormat="false" ht="13" hidden="false" customHeight="false" outlineLevel="0" collapsed="false">
      <c r="B991" s="145"/>
      <c r="C991" s="86"/>
      <c r="D991" s="86"/>
    </row>
    <row r="992" customFormat="false" ht="13" hidden="false" customHeight="false" outlineLevel="0" collapsed="false">
      <c r="B992" s="145"/>
      <c r="C992" s="86"/>
      <c r="D992" s="86"/>
    </row>
    <row r="993" customFormat="false" ht="13" hidden="false" customHeight="false" outlineLevel="0" collapsed="false">
      <c r="B993" s="145"/>
      <c r="C993" s="86"/>
      <c r="D993" s="86"/>
    </row>
    <row r="994" customFormat="false" ht="13" hidden="false" customHeight="false" outlineLevel="0" collapsed="false">
      <c r="B994" s="145"/>
      <c r="C994" s="86"/>
      <c r="D994" s="86"/>
    </row>
    <row r="995" customFormat="false" ht="13" hidden="false" customHeight="false" outlineLevel="0" collapsed="false">
      <c r="B995" s="145"/>
      <c r="C995" s="86"/>
      <c r="D995" s="86"/>
    </row>
    <row r="996" customFormat="false" ht="13" hidden="false" customHeight="false" outlineLevel="0" collapsed="false">
      <c r="B996" s="145"/>
      <c r="C996" s="86"/>
      <c r="D996" s="86"/>
    </row>
    <row r="997" customFormat="false" ht="13" hidden="false" customHeight="false" outlineLevel="0" collapsed="false">
      <c r="B997" s="145"/>
      <c r="C997" s="86"/>
      <c r="D997" s="86"/>
    </row>
    <row r="998" customFormat="false" ht="13" hidden="false" customHeight="false" outlineLevel="0" collapsed="false">
      <c r="B998" s="145"/>
      <c r="C998" s="86"/>
      <c r="D998" s="86"/>
    </row>
  </sheetData>
  <mergeCells count="4">
    <mergeCell ref="A2:C2"/>
    <mergeCell ref="F2:G2"/>
    <mergeCell ref="F3:G3"/>
    <mergeCell ref="F30:G3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9" activeCellId="0" sqref="L29"/>
    </sheetView>
  </sheetViews>
  <sheetFormatPr defaultColWidth="8.83984375" defaultRowHeight="13" zeroHeight="false" outlineLevelRow="0" outlineLevelCol="0"/>
  <cols>
    <col collapsed="false" customWidth="true" hidden="false" outlineLevel="0" max="2" min="2" style="0" width="10.16"/>
    <col collapsed="false" customWidth="true" hidden="false" outlineLevel="0" max="4" min="4" style="0" width="10.16"/>
    <col collapsed="false" customWidth="true" hidden="false" outlineLevel="0" max="6" min="6" style="0" width="10.16"/>
    <col collapsed="false" customWidth="true" hidden="false" outlineLevel="0" max="8" min="8" style="0" width="18.66"/>
    <col collapsed="false" customWidth="true" hidden="false" outlineLevel="0" max="10" min="10" style="0" width="11.66"/>
    <col collapsed="false" customWidth="true" hidden="false" outlineLevel="0" max="12" min="12" style="0" width="11.66"/>
    <col collapsed="false" customWidth="true" hidden="false" outlineLevel="0" max="14" min="14" style="0" width="11.66"/>
    <col collapsed="false" customWidth="true" hidden="false" outlineLevel="0" max="17" min="16" style="0" width="14.5"/>
    <col collapsed="false" customWidth="true" hidden="false" outlineLevel="0" max="18" min="18" style="0" width="12.5"/>
    <col collapsed="false" customWidth="true" hidden="false" outlineLevel="0" max="20" min="20" style="0" width="10.84"/>
    <col collapsed="false" customWidth="true" hidden="false" outlineLevel="0" max="22" min="22" style="0" width="13.5"/>
    <col collapsed="false" customWidth="true" hidden="false" outlineLevel="0" max="23" min="23" style="0" width="10.33"/>
    <col collapsed="false" customWidth="true" hidden="false" outlineLevel="0" max="25" min="25" style="0" width="12.17"/>
    <col collapsed="false" customWidth="true" hidden="false" outlineLevel="0" max="26" min="26" style="0" width="10.16"/>
    <col collapsed="false" customWidth="true" hidden="false" outlineLevel="0" max="28" min="28" style="0" width="13.83"/>
  </cols>
  <sheetData>
    <row r="1" customFormat="false" ht="16" hidden="false" customHeight="false" outlineLevel="0" collapsed="false">
      <c r="B1" s="42" t="s">
        <v>145</v>
      </c>
      <c r="C1" s="42"/>
      <c r="D1" s="42" t="s">
        <v>146</v>
      </c>
      <c r="E1" s="42"/>
      <c r="F1" s="42" t="s">
        <v>147</v>
      </c>
      <c r="G1" s="42"/>
      <c r="H1" s="7" t="s">
        <v>148</v>
      </c>
      <c r="I1" s="7"/>
      <c r="J1" s="44" t="s">
        <v>98</v>
      </c>
      <c r="K1" s="44"/>
      <c r="L1" s="44" t="s">
        <v>149</v>
      </c>
      <c r="M1" s="44"/>
      <c r="N1" s="46" t="s">
        <v>150</v>
      </c>
      <c r="O1" s="46"/>
      <c r="P1" s="7" t="s">
        <v>151</v>
      </c>
      <c r="Q1" s="146"/>
      <c r="R1" s="43" t="s">
        <v>147</v>
      </c>
      <c r="S1" s="43"/>
      <c r="T1" s="43" t="s">
        <v>152</v>
      </c>
      <c r="U1" s="43"/>
      <c r="V1" s="146" t="s">
        <v>153</v>
      </c>
      <c r="W1" s="47" t="s">
        <v>154</v>
      </c>
      <c r="X1" s="47"/>
      <c r="Y1" s="146"/>
      <c r="Z1" s="48" t="s">
        <v>155</v>
      </c>
      <c r="AA1" s="48"/>
    </row>
    <row r="2" customFormat="false" ht="13" hidden="false" customHeight="false" outlineLevel="0" collapsed="false">
      <c r="B2" s="53"/>
      <c r="C2" s="54"/>
      <c r="D2" s="53"/>
      <c r="E2" s="54"/>
      <c r="F2" s="53"/>
      <c r="G2" s="54"/>
      <c r="H2" s="54"/>
      <c r="I2" s="54"/>
      <c r="J2" s="53"/>
      <c r="K2" s="54"/>
      <c r="L2" s="53"/>
      <c r="M2" s="54"/>
      <c r="N2" s="53"/>
      <c r="O2" s="54"/>
      <c r="P2" s="54"/>
      <c r="Q2" s="147"/>
      <c r="R2" s="53"/>
      <c r="S2" s="54"/>
      <c r="T2" s="53"/>
      <c r="U2" s="54"/>
      <c r="V2" s="147"/>
      <c r="W2" s="53"/>
      <c r="X2" s="54"/>
      <c r="Y2" s="147"/>
      <c r="Z2" s="53"/>
      <c r="AA2" s="54"/>
    </row>
    <row r="3" customFormat="false" ht="13" hidden="false" customHeight="false" outlineLevel="0" collapsed="false">
      <c r="A3" s="0" t="n">
        <v>1</v>
      </c>
      <c r="R3" s="56"/>
      <c r="S3" s="58"/>
      <c r="T3" s="56"/>
      <c r="U3" s="58"/>
      <c r="V3" s="148"/>
      <c r="W3" s="56"/>
      <c r="X3" s="58"/>
      <c r="Y3" s="148"/>
      <c r="Z3" s="56"/>
      <c r="AA3" s="58"/>
    </row>
    <row r="4" customFormat="false" ht="13" hidden="false" customHeight="false" outlineLevel="0" collapsed="false">
      <c r="A4" s="0" t="n">
        <v>2</v>
      </c>
      <c r="B4" s="60"/>
      <c r="C4" s="61"/>
      <c r="D4" s="60"/>
      <c r="E4" s="61"/>
      <c r="F4" s="60"/>
      <c r="G4" s="61"/>
      <c r="H4" s="61"/>
      <c r="I4" s="61"/>
      <c r="J4" s="60"/>
      <c r="K4" s="61"/>
      <c r="L4" s="60"/>
      <c r="M4" s="61"/>
      <c r="N4" s="60"/>
      <c r="O4" s="61"/>
      <c r="P4" s="61"/>
      <c r="Q4" s="149"/>
      <c r="R4" s="60"/>
      <c r="S4" s="61"/>
      <c r="T4" s="56"/>
      <c r="U4" s="61"/>
      <c r="V4" s="149"/>
      <c r="W4" s="60"/>
      <c r="X4" s="61"/>
      <c r="Y4" s="148"/>
      <c r="Z4" s="56"/>
      <c r="AA4" s="61"/>
    </row>
    <row r="5" customFormat="false" ht="14" hidden="false" customHeight="false" outlineLevel="0" collapsed="false">
      <c r="A5" s="0" t="n">
        <v>3</v>
      </c>
      <c r="B5" s="60"/>
      <c r="C5" s="61"/>
      <c r="D5" s="60"/>
      <c r="E5" s="61"/>
      <c r="F5" s="60"/>
      <c r="G5" s="61"/>
      <c r="H5" s="61"/>
      <c r="I5" s="61"/>
      <c r="J5" s="60"/>
      <c r="K5" s="61"/>
      <c r="L5" s="60"/>
      <c r="M5" s="61"/>
      <c r="N5" s="60"/>
      <c r="O5" s="61"/>
      <c r="P5" s="150"/>
      <c r="Q5" s="150"/>
      <c r="R5" s="60"/>
      <c r="S5" s="61"/>
      <c r="T5" s="56"/>
      <c r="U5" s="61"/>
      <c r="V5" s="149"/>
      <c r="W5" s="60"/>
      <c r="X5" s="61"/>
      <c r="Y5" s="148"/>
      <c r="Z5" s="56"/>
      <c r="AA5" s="61"/>
    </row>
    <row r="6" customFormat="false" ht="14" hidden="false" customHeight="false" outlineLevel="0" collapsed="false">
      <c r="A6" s="0" t="n">
        <v>1</v>
      </c>
      <c r="B6" s="60"/>
      <c r="C6" s="61"/>
      <c r="D6" s="60"/>
      <c r="E6" s="61"/>
      <c r="F6" s="60"/>
      <c r="G6" s="61"/>
      <c r="H6" s="61"/>
      <c r="I6" s="61"/>
      <c r="J6" s="60"/>
      <c r="K6" s="61"/>
      <c r="L6" s="60"/>
      <c r="M6" s="61"/>
      <c r="N6" s="60"/>
      <c r="O6" s="61"/>
      <c r="P6" s="151"/>
      <c r="Q6" s="151"/>
      <c r="R6" s="60"/>
      <c r="S6" s="61"/>
      <c r="T6" s="56"/>
      <c r="U6" s="61"/>
      <c r="V6" s="149"/>
      <c r="W6" s="60"/>
      <c r="X6" s="61"/>
      <c r="Y6" s="148"/>
      <c r="Z6" s="56"/>
      <c r="AA6" s="61"/>
    </row>
    <row r="7" customFormat="false" ht="14" hidden="false" customHeight="false" outlineLevel="0" collapsed="false">
      <c r="A7" s="0" t="n">
        <v>5</v>
      </c>
      <c r="B7" s="60"/>
      <c r="C7" s="61"/>
      <c r="D7" s="60"/>
      <c r="E7" s="61"/>
      <c r="F7" s="60"/>
      <c r="G7" s="63"/>
      <c r="H7" s="63"/>
      <c r="I7" s="63"/>
      <c r="J7" s="60"/>
      <c r="K7" s="61"/>
      <c r="L7" s="60"/>
      <c r="M7" s="61"/>
      <c r="N7" s="60"/>
      <c r="O7" s="61"/>
      <c r="P7" s="151"/>
      <c r="Q7" s="151"/>
      <c r="R7" s="60"/>
      <c r="S7" s="61"/>
      <c r="T7" s="56"/>
      <c r="U7" s="61"/>
      <c r="V7" s="149"/>
      <c r="W7" s="60"/>
      <c r="X7" s="61"/>
      <c r="Y7" s="148"/>
      <c r="Z7" s="56"/>
      <c r="AA7" s="61"/>
    </row>
    <row r="8" customFormat="false" ht="14" hidden="false" customHeight="false" outlineLevel="0" collapsed="false">
      <c r="A8" s="0" t="n">
        <v>6</v>
      </c>
      <c r="B8" s="60"/>
      <c r="C8" s="61"/>
      <c r="D8" s="60"/>
      <c r="E8" s="61"/>
      <c r="F8" s="60"/>
      <c r="G8" s="61"/>
      <c r="H8" s="61"/>
      <c r="I8" s="61"/>
      <c r="J8" s="60"/>
      <c r="K8" s="61"/>
      <c r="L8" s="60"/>
      <c r="M8" s="61"/>
      <c r="N8" s="60"/>
      <c r="O8" s="61"/>
      <c r="P8" s="151"/>
      <c r="Q8" s="151"/>
      <c r="R8" s="60"/>
      <c r="S8" s="61"/>
      <c r="T8" s="56"/>
      <c r="U8" s="61"/>
      <c r="V8" s="149"/>
      <c r="W8" s="60"/>
      <c r="X8" s="61"/>
      <c r="Y8" s="148"/>
      <c r="Z8" s="56"/>
      <c r="AA8" s="61"/>
    </row>
    <row r="9" customFormat="false" ht="14" hidden="false" customHeight="false" outlineLevel="0" collapsed="false">
      <c r="A9" s="0" t="n">
        <v>7</v>
      </c>
      <c r="B9" s="60"/>
      <c r="C9" s="61"/>
      <c r="D9" s="60"/>
      <c r="E9" s="61"/>
      <c r="F9" s="60"/>
      <c r="G9" s="61"/>
      <c r="H9" s="61"/>
      <c r="I9" s="61"/>
      <c r="J9" s="60"/>
      <c r="K9" s="61"/>
      <c r="L9" s="60"/>
      <c r="M9" s="61"/>
      <c r="N9" s="60"/>
      <c r="O9" s="61"/>
      <c r="P9" s="151"/>
      <c r="Q9" s="151"/>
      <c r="R9" s="60"/>
      <c r="S9" s="61"/>
      <c r="T9" s="56"/>
      <c r="U9" s="61"/>
      <c r="V9" s="149"/>
      <c r="W9" s="60"/>
      <c r="X9" s="61"/>
      <c r="Y9" s="148"/>
      <c r="Z9" s="56"/>
      <c r="AA9" s="61"/>
    </row>
    <row r="10" customFormat="false" ht="14" hidden="false" customHeight="false" outlineLevel="0" collapsed="false">
      <c r="A10" s="0" t="n">
        <v>8</v>
      </c>
      <c r="B10" s="60"/>
      <c r="C10" s="61"/>
      <c r="D10" s="60"/>
      <c r="E10" s="61"/>
      <c r="F10" s="60"/>
      <c r="G10" s="61"/>
      <c r="H10" s="61"/>
      <c r="I10" s="61"/>
      <c r="J10" s="60"/>
      <c r="K10" s="61"/>
      <c r="L10" s="60"/>
      <c r="M10" s="61"/>
      <c r="N10" s="60"/>
      <c r="O10" s="61"/>
      <c r="P10" s="151"/>
      <c r="Q10" s="151"/>
      <c r="R10" s="60"/>
      <c r="S10" s="56"/>
      <c r="T10" s="56"/>
      <c r="U10" s="61"/>
      <c r="V10" s="149"/>
      <c r="W10" s="60"/>
      <c r="X10" s="61"/>
      <c r="Y10" s="148"/>
      <c r="Z10" s="56"/>
      <c r="AA10" s="61"/>
    </row>
    <row r="11" customFormat="false" ht="14" hidden="false" customHeight="false" outlineLevel="0" collapsed="false">
      <c r="A11" s="0" t="n">
        <v>9</v>
      </c>
      <c r="B11" s="60"/>
      <c r="C11" s="61"/>
      <c r="D11" s="60"/>
      <c r="E11" s="61"/>
      <c r="F11" s="60"/>
      <c r="G11" s="61"/>
      <c r="H11" s="61"/>
      <c r="I11" s="61"/>
      <c r="J11" s="60"/>
      <c r="K11" s="61"/>
      <c r="L11" s="60"/>
      <c r="M11" s="61"/>
      <c r="N11" s="60"/>
      <c r="O11" s="61"/>
      <c r="P11" s="151"/>
      <c r="Q11" s="151"/>
      <c r="R11" s="60"/>
      <c r="S11" s="61"/>
      <c r="T11" s="56"/>
      <c r="U11" s="61"/>
      <c r="V11" s="149"/>
      <c r="W11" s="60"/>
      <c r="X11" s="61"/>
      <c r="Y11" s="148"/>
      <c r="Z11" s="56"/>
      <c r="AA11" s="61"/>
    </row>
    <row r="12" customFormat="false" ht="14" hidden="false" customHeight="false" outlineLevel="0" collapsed="false">
      <c r="A12" s="0" t="n">
        <v>10</v>
      </c>
      <c r="B12" s="60"/>
      <c r="C12" s="61"/>
      <c r="D12" s="60"/>
      <c r="E12" s="61"/>
      <c r="F12" s="60"/>
      <c r="G12" s="61"/>
      <c r="H12" s="61"/>
      <c r="I12" s="61"/>
      <c r="J12" s="60"/>
      <c r="K12" s="61"/>
      <c r="N12" s="60"/>
      <c r="O12" s="61"/>
      <c r="P12" s="151"/>
      <c r="Q12" s="151"/>
      <c r="R12" s="60"/>
      <c r="S12" s="61"/>
      <c r="T12" s="56"/>
      <c r="U12" s="61"/>
      <c r="V12" s="149"/>
      <c r="W12" s="60"/>
      <c r="X12" s="61"/>
      <c r="Y12" s="148"/>
      <c r="Z12" s="56"/>
      <c r="AA12" s="61"/>
    </row>
    <row r="13" customFormat="false" ht="14" hidden="false" customHeight="false" outlineLevel="0" collapsed="false">
      <c r="A13" s="0" t="n">
        <v>11</v>
      </c>
      <c r="B13" s="60"/>
      <c r="C13" s="61"/>
      <c r="D13" s="60"/>
      <c r="E13" s="61"/>
      <c r="F13" s="60"/>
      <c r="G13" s="61"/>
      <c r="H13" s="61"/>
      <c r="I13" s="61"/>
      <c r="J13" s="60"/>
      <c r="K13" s="61"/>
      <c r="L13" s="60"/>
      <c r="M13" s="61"/>
      <c r="N13" s="60"/>
      <c r="O13" s="61"/>
      <c r="P13" s="151"/>
      <c r="Q13" s="151"/>
      <c r="R13" s="60"/>
      <c r="S13" s="61"/>
      <c r="T13" s="56"/>
      <c r="U13" s="61"/>
      <c r="V13" s="149"/>
      <c r="W13" s="60"/>
      <c r="X13" s="61"/>
      <c r="Y13" s="148"/>
      <c r="Z13" s="56"/>
      <c r="AA13" s="61"/>
    </row>
    <row r="14" customFormat="false" ht="14" hidden="false" customHeight="false" outlineLevel="0" collapsed="false">
      <c r="A14" s="0" t="n">
        <v>12</v>
      </c>
      <c r="B14" s="60"/>
      <c r="C14" s="61"/>
      <c r="D14" s="60"/>
      <c r="E14" s="61"/>
      <c r="F14" s="60"/>
      <c r="G14" s="61"/>
      <c r="H14" s="61"/>
      <c r="I14" s="61"/>
      <c r="J14" s="60"/>
      <c r="K14" s="61"/>
      <c r="L14" s="60"/>
      <c r="M14" s="61"/>
      <c r="N14" s="60"/>
      <c r="O14" s="61"/>
      <c r="P14" s="151"/>
      <c r="Q14" s="151"/>
      <c r="R14" s="60"/>
      <c r="S14" s="61"/>
      <c r="T14" s="56"/>
      <c r="U14" s="61"/>
      <c r="V14" s="149"/>
      <c r="W14" s="60"/>
      <c r="X14" s="61"/>
      <c r="Y14" s="148"/>
      <c r="Z14" s="56"/>
      <c r="AA14" s="61"/>
    </row>
    <row r="15" customFormat="false" ht="14" hidden="false" customHeight="false" outlineLevel="0" collapsed="false">
      <c r="A15" s="0" t="n">
        <v>13</v>
      </c>
      <c r="B15" s="60"/>
      <c r="C15" s="61"/>
      <c r="D15" s="60"/>
      <c r="E15" s="61"/>
      <c r="F15" s="60"/>
      <c r="G15" s="61"/>
      <c r="H15" s="61"/>
      <c r="I15" s="61"/>
      <c r="J15" s="60"/>
      <c r="K15" s="61"/>
      <c r="L15" s="60"/>
      <c r="M15" s="61"/>
      <c r="N15" s="60"/>
      <c r="O15" s="61"/>
      <c r="P15" s="151"/>
      <c r="Q15" s="151"/>
      <c r="R15" s="60"/>
      <c r="S15" s="61"/>
      <c r="T15" s="56"/>
      <c r="U15" s="61"/>
      <c r="V15" s="149"/>
      <c r="W15" s="60"/>
      <c r="X15" s="61"/>
      <c r="Y15" s="148"/>
      <c r="Z15" s="56"/>
      <c r="AA15" s="63"/>
    </row>
    <row r="16" customFormat="false" ht="14" hidden="false" customHeight="false" outlineLevel="0" collapsed="false">
      <c r="A16" s="0" t="n">
        <v>14</v>
      </c>
      <c r="B16" s="60"/>
      <c r="C16" s="61"/>
      <c r="D16" s="60"/>
      <c r="E16" s="61"/>
      <c r="F16" s="60"/>
      <c r="G16" s="61"/>
      <c r="H16" s="61"/>
      <c r="I16" s="61"/>
      <c r="J16" s="60"/>
      <c r="K16" s="61"/>
      <c r="L16" s="60"/>
      <c r="M16" s="61"/>
      <c r="N16" s="60"/>
      <c r="O16" s="61"/>
      <c r="P16" s="151"/>
      <c r="Q16" s="151"/>
      <c r="R16" s="60"/>
      <c r="S16" s="61"/>
      <c r="T16" s="56"/>
      <c r="U16" s="61"/>
      <c r="V16" s="149"/>
      <c r="W16" s="60"/>
      <c r="X16" s="61"/>
      <c r="Y16" s="148"/>
      <c r="Z16" s="56"/>
      <c r="AA16" s="61"/>
    </row>
    <row r="17" customFormat="false" ht="14" hidden="false" customHeight="false" outlineLevel="0" collapsed="false">
      <c r="A17" s="0" t="n">
        <v>15</v>
      </c>
      <c r="B17" s="60"/>
      <c r="C17" s="61"/>
      <c r="D17" s="60"/>
      <c r="E17" s="61"/>
      <c r="F17" s="61"/>
      <c r="H17" s="152"/>
      <c r="J17" s="60"/>
      <c r="K17" s="61"/>
      <c r="L17" s="60"/>
      <c r="M17" s="61"/>
      <c r="N17" s="60"/>
      <c r="O17" s="61"/>
      <c r="P17" s="151"/>
      <c r="Q17" s="151"/>
      <c r="R17" s="60"/>
      <c r="S17" s="61"/>
      <c r="T17" s="56"/>
      <c r="U17" s="61"/>
      <c r="V17" s="149"/>
      <c r="W17" s="60"/>
      <c r="X17" s="61"/>
      <c r="Y17" s="148"/>
      <c r="Z17" s="56"/>
      <c r="AA17" s="61"/>
    </row>
    <row r="18" customFormat="false" ht="14" hidden="false" customHeight="false" outlineLevel="0" collapsed="false">
      <c r="A18" s="0" t="n">
        <v>16</v>
      </c>
      <c r="B18" s="60"/>
      <c r="C18" s="61"/>
      <c r="D18" s="60"/>
      <c r="E18" s="61"/>
      <c r="F18" s="60"/>
      <c r="G18" s="61"/>
      <c r="H18" s="61"/>
      <c r="I18" s="61"/>
      <c r="J18" s="60"/>
      <c r="K18" s="61"/>
      <c r="L18" s="60"/>
      <c r="M18" s="61"/>
      <c r="N18" s="60"/>
      <c r="O18" s="61"/>
      <c r="P18" s="151"/>
      <c r="Q18" s="151"/>
      <c r="R18" s="60"/>
      <c r="S18" s="61"/>
      <c r="T18" s="56"/>
      <c r="U18" s="61"/>
      <c r="V18" s="149"/>
      <c r="W18" s="60"/>
      <c r="X18" s="61"/>
      <c r="Y18" s="148"/>
      <c r="Z18" s="56"/>
      <c r="AA18" s="61"/>
      <c r="AD18" s="0" t="s">
        <v>156</v>
      </c>
    </row>
    <row r="19" customFormat="false" ht="14" hidden="false" customHeight="false" outlineLevel="0" collapsed="false">
      <c r="A19" s="0" t="n">
        <v>17</v>
      </c>
      <c r="B19" s="60"/>
      <c r="C19" s="61"/>
      <c r="D19" s="60"/>
      <c r="E19" s="61"/>
      <c r="F19" s="60"/>
      <c r="G19" s="61"/>
      <c r="H19" s="61"/>
      <c r="I19" s="61"/>
      <c r="J19" s="60"/>
      <c r="K19" s="61"/>
      <c r="L19" s="60"/>
      <c r="M19" s="61"/>
      <c r="N19" s="60"/>
      <c r="O19" s="61"/>
      <c r="P19" s="151"/>
      <c r="Q19" s="151"/>
      <c r="R19" s="60"/>
      <c r="S19" s="61"/>
      <c r="T19" s="56"/>
      <c r="U19" s="61"/>
      <c r="V19" s="149"/>
      <c r="W19" s="60"/>
      <c r="X19" s="61"/>
      <c r="Y19" s="148"/>
      <c r="Z19" s="56"/>
      <c r="AA19" s="61"/>
    </row>
    <row r="20" customFormat="false" ht="14" hidden="false" customHeight="false" outlineLevel="0" collapsed="false">
      <c r="A20" s="0" t="n">
        <v>18</v>
      </c>
      <c r="B20" s="60"/>
      <c r="C20" s="61"/>
      <c r="D20" s="60"/>
      <c r="E20" s="61"/>
      <c r="F20" s="60"/>
      <c r="G20" s="61"/>
      <c r="H20" s="61"/>
      <c r="I20" s="61"/>
      <c r="J20" s="60"/>
      <c r="K20" s="61"/>
      <c r="L20" s="60"/>
      <c r="M20" s="61"/>
      <c r="N20" s="60"/>
      <c r="O20" s="61"/>
      <c r="P20" s="151"/>
      <c r="Q20" s="151"/>
      <c r="R20" s="60"/>
      <c r="S20" s="61"/>
      <c r="T20" s="56"/>
      <c r="U20" s="61"/>
      <c r="V20" s="149"/>
      <c r="W20" s="60"/>
      <c r="X20" s="61"/>
      <c r="Y20" s="148"/>
      <c r="Z20" s="56"/>
      <c r="AA20" s="61"/>
    </row>
    <row r="21" customFormat="false" ht="14" hidden="false" customHeight="false" outlineLevel="0" collapsed="false">
      <c r="A21" s="0" t="n">
        <v>19</v>
      </c>
      <c r="B21" s="60"/>
      <c r="C21" s="61"/>
      <c r="D21" s="60"/>
      <c r="E21" s="61"/>
      <c r="F21" s="60"/>
      <c r="G21" s="61"/>
      <c r="H21" s="61"/>
      <c r="I21" s="61"/>
      <c r="J21" s="60"/>
      <c r="K21" s="61"/>
      <c r="L21" s="60"/>
      <c r="M21" s="61"/>
      <c r="N21" s="60"/>
      <c r="O21" s="61"/>
      <c r="P21" s="151"/>
      <c r="Q21" s="151"/>
      <c r="R21" s="60"/>
      <c r="S21" s="61"/>
      <c r="T21" s="56"/>
      <c r="U21" s="61"/>
      <c r="V21" s="149"/>
      <c r="W21" s="60"/>
      <c r="X21" s="61"/>
      <c r="Y21" s="148"/>
      <c r="Z21" s="56"/>
      <c r="AA21" s="61"/>
    </row>
    <row r="22" customFormat="false" ht="14" hidden="false" customHeight="false" outlineLevel="0" collapsed="false">
      <c r="A22" s="0" t="n">
        <v>20</v>
      </c>
      <c r="B22" s="60"/>
      <c r="C22" s="61"/>
      <c r="D22" s="60"/>
      <c r="E22" s="61"/>
      <c r="F22" s="60"/>
      <c r="G22" s="61"/>
      <c r="H22" s="61"/>
      <c r="I22" s="61"/>
      <c r="J22" s="60"/>
      <c r="K22" s="61"/>
      <c r="L22" s="60"/>
      <c r="M22" s="61"/>
      <c r="N22" s="60"/>
      <c r="O22" s="61"/>
      <c r="P22" s="151"/>
      <c r="Q22" s="151"/>
      <c r="R22" s="60"/>
      <c r="S22" s="61"/>
      <c r="T22" s="56"/>
      <c r="U22" s="61"/>
      <c r="V22" s="149"/>
      <c r="W22" s="60"/>
      <c r="X22" s="61"/>
      <c r="Y22" s="148"/>
      <c r="Z22" s="56"/>
      <c r="AA22" s="61"/>
    </row>
    <row r="23" customFormat="false" ht="14" hidden="false" customHeight="false" outlineLevel="0" collapsed="false">
      <c r="A23" s="0" t="n">
        <v>21</v>
      </c>
      <c r="B23" s="60"/>
      <c r="D23" s="60"/>
      <c r="E23" s="61"/>
      <c r="F23" s="60"/>
      <c r="G23" s="63"/>
      <c r="H23" s="63"/>
      <c r="I23" s="63"/>
      <c r="J23" s="60"/>
      <c r="K23" s="61"/>
      <c r="L23" s="60"/>
      <c r="M23" s="61"/>
      <c r="N23" s="60"/>
      <c r="O23" s="61"/>
      <c r="P23" s="151"/>
      <c r="Q23" s="151"/>
      <c r="R23" s="60"/>
      <c r="S23" s="61"/>
      <c r="T23" s="56"/>
      <c r="U23" s="61"/>
      <c r="V23" s="149"/>
      <c r="W23" s="60"/>
      <c r="X23" s="61"/>
      <c r="Y23" s="148"/>
      <c r="Z23" s="56"/>
      <c r="AA23" s="61"/>
    </row>
    <row r="24" customFormat="false" ht="14" hidden="false" customHeight="false" outlineLevel="0" collapsed="false">
      <c r="A24" s="0" t="n">
        <v>22</v>
      </c>
      <c r="B24" s="60"/>
      <c r="C24" s="61"/>
      <c r="D24" s="60"/>
      <c r="E24" s="61"/>
      <c r="F24" s="61"/>
      <c r="G24" s="63"/>
      <c r="H24" s="63"/>
      <c r="I24" s="63"/>
      <c r="J24" s="60"/>
      <c r="K24" s="61"/>
      <c r="L24" s="60"/>
      <c r="M24" s="61"/>
      <c r="N24" s="60"/>
      <c r="O24" s="61"/>
      <c r="P24" s="151"/>
      <c r="Q24" s="151"/>
      <c r="R24" s="60"/>
      <c r="S24" s="61"/>
      <c r="T24" s="56"/>
      <c r="U24" s="61"/>
      <c r="V24" s="149"/>
      <c r="W24" s="60"/>
      <c r="X24" s="61"/>
      <c r="Y24" s="148"/>
      <c r="Z24" s="56"/>
      <c r="AA24" s="61"/>
    </row>
    <row r="25" customFormat="false" ht="14" hidden="false" customHeight="false" outlineLevel="0" collapsed="false">
      <c r="A25" s="0" t="n">
        <v>23</v>
      </c>
      <c r="B25" s="60"/>
      <c r="C25" s="61"/>
      <c r="D25" s="60"/>
      <c r="E25" s="61"/>
      <c r="F25" s="60"/>
      <c r="G25" s="61"/>
      <c r="H25" s="61"/>
      <c r="I25" s="61"/>
      <c r="J25" s="60"/>
      <c r="K25" s="61"/>
      <c r="L25" s="60"/>
      <c r="M25" s="61"/>
      <c r="N25" s="60"/>
      <c r="O25" s="61"/>
      <c r="P25" s="151"/>
      <c r="Q25" s="151"/>
      <c r="R25" s="60"/>
      <c r="S25" s="61"/>
      <c r="T25" s="56"/>
      <c r="U25" s="61"/>
      <c r="V25" s="149"/>
      <c r="W25" s="60"/>
      <c r="X25" s="61"/>
      <c r="Y25" s="148"/>
      <c r="Z25" s="56"/>
      <c r="AA25" s="61"/>
    </row>
    <row r="26" customFormat="false" ht="14" hidden="false" customHeight="false" outlineLevel="0" collapsed="false">
      <c r="A26" s="0" t="n">
        <v>24</v>
      </c>
      <c r="B26" s="60"/>
      <c r="C26" s="61"/>
      <c r="D26" s="60"/>
      <c r="E26" s="61"/>
      <c r="F26" s="60"/>
      <c r="G26" s="61"/>
      <c r="H26" s="61"/>
      <c r="I26" s="61"/>
      <c r="J26" s="60"/>
      <c r="K26" s="61"/>
      <c r="L26" s="60"/>
      <c r="M26" s="61"/>
      <c r="N26" s="60"/>
      <c r="O26" s="61"/>
      <c r="P26" s="151"/>
      <c r="Q26" s="151"/>
      <c r="R26" s="60"/>
      <c r="S26" s="61"/>
      <c r="T26" s="56"/>
      <c r="U26" s="61"/>
      <c r="V26" s="149"/>
      <c r="W26" s="60"/>
      <c r="X26" s="61"/>
      <c r="Y26" s="148"/>
      <c r="Z26" s="56"/>
      <c r="AA26" s="61"/>
    </row>
    <row r="27" customFormat="false" ht="14" hidden="false" customHeight="false" outlineLevel="0" collapsed="false">
      <c r="A27" s="0" t="n">
        <v>25</v>
      </c>
      <c r="B27" s="60"/>
      <c r="C27" s="61"/>
      <c r="D27" s="60"/>
      <c r="E27" s="61"/>
      <c r="F27" s="60"/>
      <c r="G27" s="61"/>
      <c r="H27" s="61"/>
      <c r="I27" s="61"/>
      <c r="J27" s="60"/>
      <c r="K27" s="61"/>
      <c r="L27" s="60"/>
      <c r="M27" s="61"/>
      <c r="N27" s="60"/>
      <c r="O27" s="61"/>
      <c r="P27" s="151"/>
      <c r="Q27" s="151"/>
      <c r="R27" s="60"/>
      <c r="S27" s="61"/>
      <c r="T27" s="56"/>
      <c r="U27" s="61"/>
      <c r="V27" s="149"/>
      <c r="W27" s="60"/>
      <c r="X27" s="61"/>
      <c r="Y27" s="148"/>
      <c r="Z27" s="56"/>
      <c r="AA27" s="61"/>
    </row>
    <row r="28" customFormat="false" ht="14" hidden="false" customHeight="false" outlineLevel="0" collapsed="false">
      <c r="A28" s="0" t="n">
        <v>26</v>
      </c>
      <c r="B28" s="60"/>
      <c r="C28" s="61"/>
      <c r="D28" s="60"/>
      <c r="E28" s="61"/>
      <c r="F28" s="60"/>
      <c r="G28" s="61"/>
      <c r="H28" s="61"/>
      <c r="I28" s="61"/>
      <c r="J28" s="60"/>
      <c r="K28" s="61"/>
      <c r="L28" s="60"/>
      <c r="M28" s="61"/>
      <c r="N28" s="60"/>
      <c r="O28" s="61"/>
      <c r="P28" s="151"/>
      <c r="Q28" s="151"/>
      <c r="R28" s="60"/>
      <c r="S28" s="61"/>
      <c r="T28" s="56"/>
      <c r="U28" s="61"/>
      <c r="V28" s="149"/>
      <c r="W28" s="60"/>
      <c r="X28" s="61"/>
      <c r="Y28" s="148"/>
      <c r="Z28" s="56"/>
      <c r="AA28" s="61"/>
    </row>
    <row r="29" customFormat="false" ht="14" hidden="false" customHeight="false" outlineLevel="0" collapsed="false">
      <c r="A29" s="0" t="n">
        <v>27</v>
      </c>
      <c r="B29" s="60"/>
      <c r="C29" s="61"/>
      <c r="D29" s="60"/>
      <c r="E29" s="61"/>
      <c r="F29" s="60"/>
      <c r="G29" s="61"/>
      <c r="H29" s="61"/>
      <c r="I29" s="61"/>
      <c r="J29" s="60"/>
      <c r="K29" s="61"/>
      <c r="L29" s="60"/>
      <c r="M29" s="61"/>
      <c r="N29" s="60"/>
      <c r="O29" s="61"/>
      <c r="P29" s="151"/>
      <c r="Q29" s="151"/>
      <c r="R29" s="60"/>
      <c r="S29" s="61"/>
      <c r="T29" s="56"/>
      <c r="U29" s="61"/>
      <c r="V29" s="149"/>
      <c r="W29" s="60"/>
      <c r="X29" s="61"/>
      <c r="Y29" s="148"/>
      <c r="Z29" s="56"/>
      <c r="AA29" s="61"/>
    </row>
    <row r="30" customFormat="false" ht="14" hidden="false" customHeight="false" outlineLevel="0" collapsed="false">
      <c r="A30" s="0" t="n">
        <v>28</v>
      </c>
      <c r="B30" s="60"/>
      <c r="C30" s="61"/>
      <c r="D30" s="60"/>
      <c r="E30" s="61"/>
      <c r="F30" s="60"/>
      <c r="G30" s="61"/>
      <c r="H30" s="61"/>
      <c r="I30" s="61"/>
      <c r="J30" s="60"/>
      <c r="K30" s="61"/>
      <c r="L30" s="60"/>
      <c r="M30" s="61"/>
      <c r="N30" s="60"/>
      <c r="O30" s="61"/>
      <c r="P30" s="151"/>
      <c r="Q30" s="151"/>
      <c r="R30" s="60"/>
      <c r="S30" s="61"/>
      <c r="T30" s="56"/>
      <c r="U30" s="61"/>
      <c r="V30" s="149"/>
      <c r="W30" s="60"/>
      <c r="X30" s="61"/>
      <c r="Y30" s="148"/>
      <c r="Z30" s="56"/>
      <c r="AA30" s="61"/>
    </row>
    <row r="31" customFormat="false" ht="14" hidden="false" customHeight="false" outlineLevel="0" collapsed="false">
      <c r="A31" s="0" t="n">
        <v>29</v>
      </c>
      <c r="B31" s="60"/>
      <c r="C31" s="61"/>
      <c r="D31" s="60"/>
      <c r="E31" s="61"/>
      <c r="F31" s="60"/>
      <c r="G31" s="61"/>
      <c r="H31" s="61"/>
      <c r="I31" s="61"/>
      <c r="J31" s="60"/>
      <c r="K31" s="61"/>
      <c r="L31" s="60"/>
      <c r="M31" s="61"/>
      <c r="N31" s="60"/>
      <c r="O31" s="61"/>
      <c r="P31" s="151"/>
      <c r="Q31" s="151"/>
      <c r="R31" s="60"/>
      <c r="S31" s="61"/>
      <c r="T31" s="56"/>
      <c r="U31" s="61"/>
      <c r="V31" s="149"/>
      <c r="W31" s="60"/>
      <c r="X31" s="61"/>
      <c r="Y31" s="148"/>
      <c r="Z31" s="56"/>
      <c r="AA31" s="61"/>
    </row>
    <row r="32" customFormat="false" ht="14" hidden="false" customHeight="false" outlineLevel="0" collapsed="false">
      <c r="A32" s="0" t="n">
        <v>30</v>
      </c>
      <c r="B32" s="60" t="n">
        <v>14</v>
      </c>
      <c r="C32" s="61" t="n">
        <v>4</v>
      </c>
      <c r="D32" s="60" t="n">
        <v>14</v>
      </c>
      <c r="E32" s="61"/>
      <c r="F32" s="60" t="n">
        <v>13</v>
      </c>
      <c r="G32" s="61"/>
      <c r="H32" s="61" t="n">
        <v>15</v>
      </c>
      <c r="I32" s="61"/>
      <c r="J32" s="68" t="n">
        <v>20</v>
      </c>
      <c r="K32" s="61"/>
      <c r="L32" s="60" t="n">
        <v>13.5</v>
      </c>
      <c r="M32" s="61"/>
      <c r="N32" s="68" t="n">
        <v>12</v>
      </c>
      <c r="O32" s="61"/>
      <c r="P32" s="151" t="n">
        <v>11.5</v>
      </c>
      <c r="Q32" s="151"/>
      <c r="R32" s="68" t="n">
        <v>4.5</v>
      </c>
      <c r="S32" s="61"/>
      <c r="T32" s="56" t="n">
        <v>22</v>
      </c>
      <c r="U32" s="61"/>
      <c r="V32" s="149" t="n">
        <v>17</v>
      </c>
      <c r="W32" s="60"/>
      <c r="X32" s="61"/>
      <c r="Y32" s="148"/>
      <c r="Z32" s="56"/>
      <c r="AA32" s="61"/>
    </row>
    <row r="33" customFormat="false" ht="13" hidden="false" customHeight="false" outlineLevel="0" collapsed="false">
      <c r="A33" s="0" t="n">
        <v>31</v>
      </c>
      <c r="B33" s="68" t="n">
        <v>14000</v>
      </c>
      <c r="C33" s="69"/>
      <c r="D33" s="68" t="n">
        <v>14000</v>
      </c>
      <c r="E33" s="69"/>
      <c r="F33" s="68" t="n">
        <v>45500</v>
      </c>
      <c r="G33" s="69"/>
      <c r="H33" s="69" t="n">
        <v>52500</v>
      </c>
      <c r="I33" s="69"/>
      <c r="J33" s="0" t="n">
        <v>165000</v>
      </c>
      <c r="K33" s="69"/>
      <c r="L33" s="68" t="n">
        <v>51320</v>
      </c>
      <c r="M33" s="69"/>
      <c r="N33" s="68" t="n">
        <v>44000</v>
      </c>
      <c r="O33" s="69"/>
      <c r="P33" s="69" t="n">
        <v>39840</v>
      </c>
      <c r="Q33" s="153"/>
      <c r="R33" s="68" t="n">
        <v>14200</v>
      </c>
      <c r="S33" s="69"/>
      <c r="T33" s="56" t="n">
        <v>121000</v>
      </c>
      <c r="U33" s="69"/>
      <c r="V33" s="153" t="n">
        <v>93500</v>
      </c>
      <c r="W33" s="68" t="n">
        <v>12500</v>
      </c>
      <c r="X33" s="69"/>
      <c r="Y33" s="154"/>
      <c r="Z33" s="56"/>
      <c r="AA33" s="69"/>
    </row>
    <row r="34" customFormat="false" ht="13" hidden="false" customHeight="false" outlineLevel="0" collapsed="false">
      <c r="B34" s="68" t="n">
        <v>109650</v>
      </c>
      <c r="C34" s="69"/>
      <c r="D34" s="68" t="n">
        <v>109650</v>
      </c>
      <c r="E34" s="69"/>
      <c r="F34" s="68" t="n">
        <v>43178</v>
      </c>
      <c r="G34" s="68"/>
      <c r="H34" s="68" t="n">
        <v>51000</v>
      </c>
      <c r="I34" s="69"/>
      <c r="J34" s="68"/>
      <c r="K34" s="69"/>
      <c r="L34" s="68" t="n">
        <v>29700</v>
      </c>
      <c r="M34" s="69"/>
      <c r="N34" s="68" t="n">
        <v>21600</v>
      </c>
      <c r="O34" s="69"/>
      <c r="P34" s="69" t="n">
        <v>20700</v>
      </c>
      <c r="Q34" s="153"/>
      <c r="R34" s="68" t="n">
        <v>8100</v>
      </c>
      <c r="S34" s="69"/>
      <c r="T34" s="68" t="n">
        <v>27280</v>
      </c>
      <c r="U34" s="68"/>
      <c r="V34" s="68"/>
      <c r="W34" s="68" t="n">
        <v>104500</v>
      </c>
      <c r="X34" s="69"/>
      <c r="Y34" s="153"/>
      <c r="Z34" s="68"/>
      <c r="AA34" s="69"/>
    </row>
    <row r="35" customFormat="false" ht="13" hidden="false" customHeight="false" outlineLevel="0" collapsed="false">
      <c r="B35" s="68"/>
      <c r="C35" s="69"/>
      <c r="D35" s="68"/>
      <c r="E35" s="69"/>
      <c r="F35" s="68"/>
      <c r="G35" s="69"/>
      <c r="H35" s="69"/>
      <c r="I35" s="69"/>
      <c r="J35" s="68"/>
      <c r="K35" s="69"/>
      <c r="L35" s="68"/>
      <c r="M35" s="69"/>
      <c r="N35" s="68"/>
      <c r="O35" s="69"/>
      <c r="P35" s="69"/>
      <c r="Q35" s="153"/>
      <c r="S35" s="69"/>
      <c r="T35" s="68"/>
      <c r="U35" s="69"/>
      <c r="V35" s="153"/>
      <c r="W35" s="68"/>
      <c r="X35" s="69"/>
      <c r="Y35" s="153"/>
      <c r="Z35" s="68"/>
      <c r="AA35" s="69"/>
      <c r="AB35" s="114"/>
    </row>
    <row r="36" customFormat="false" ht="13" hidden="false" customHeight="false" outlineLevel="0" collapsed="false">
      <c r="B36" s="70" t="n">
        <f aca="false">B34+B33</f>
        <v>123650</v>
      </c>
      <c r="C36" s="70" t="n">
        <f aca="false">C34+C33</f>
        <v>0</v>
      </c>
      <c r="D36" s="70" t="n">
        <f aca="false">D34+D33</f>
        <v>123650</v>
      </c>
      <c r="E36" s="70" t="n">
        <f aca="false">E34+E33</f>
        <v>0</v>
      </c>
      <c r="F36" s="70" t="n">
        <f aca="false">F34+F33</f>
        <v>88678</v>
      </c>
      <c r="G36" s="70" t="n">
        <f aca="false">G34+G33</f>
        <v>0</v>
      </c>
      <c r="H36" s="70" t="n">
        <f aca="false">H34+H33</f>
        <v>103500</v>
      </c>
      <c r="I36" s="70" t="n">
        <f aca="false">I34+I33</f>
        <v>0</v>
      </c>
      <c r="J36" s="70" t="n">
        <v>175000</v>
      </c>
      <c r="K36" s="70" t="n">
        <f aca="false">K34+K33</f>
        <v>0</v>
      </c>
      <c r="L36" s="70" t="n">
        <v>79800</v>
      </c>
      <c r="M36" s="70" t="n">
        <f aca="false">M34+M33</f>
        <v>0</v>
      </c>
      <c r="N36" s="70" t="n">
        <f aca="false">N34+N33</f>
        <v>65600</v>
      </c>
      <c r="O36" s="70" t="n">
        <f aca="false">O34+O33</f>
        <v>0</v>
      </c>
      <c r="P36" s="70" t="n">
        <f aca="false">P34+P33</f>
        <v>60540</v>
      </c>
      <c r="Q36" s="70" t="n">
        <f aca="false">Q34+Q33</f>
        <v>0</v>
      </c>
      <c r="R36" s="70" t="n">
        <f aca="false">R34+R33</f>
        <v>22300</v>
      </c>
      <c r="S36" s="70"/>
      <c r="T36" s="70" t="n">
        <f aca="false">T33+T34</f>
        <v>148280</v>
      </c>
      <c r="U36" s="71"/>
      <c r="V36" s="155" t="n">
        <v>99500</v>
      </c>
      <c r="W36" s="70" t="n">
        <f aca="false">W34+W33</f>
        <v>117000</v>
      </c>
      <c r="X36" s="71"/>
      <c r="Y36" s="155"/>
      <c r="Z36" s="70" t="n">
        <v>94500</v>
      </c>
      <c r="AA36" s="71"/>
      <c r="AB36" s="115" t="n">
        <v>1296218</v>
      </c>
    </row>
    <row r="37" customFormat="false" ht="13" hidden="false" customHeight="false" outlineLevel="0" collapsed="false">
      <c r="B37" s="65" t="n">
        <v>0</v>
      </c>
      <c r="D37" s="65" t="n">
        <v>0</v>
      </c>
      <c r="F37" s="65" t="n">
        <v>20000</v>
      </c>
      <c r="H37" s="152" t="n">
        <v>30000</v>
      </c>
      <c r="J37" s="156" t="n">
        <v>85000</v>
      </c>
      <c r="L37" s="65" t="n">
        <v>4000</v>
      </c>
      <c r="N37" s="65"/>
      <c r="P37" s="154"/>
      <c r="Q37" s="154"/>
      <c r="R37" s="65"/>
      <c r="T37" s="65"/>
      <c r="V37" s="154"/>
      <c r="W37" s="65"/>
      <c r="Z37" s="156" t="n">
        <v>30000</v>
      </c>
      <c r="AB37" s="156"/>
    </row>
    <row r="38" customFormat="false" ht="13" hidden="false" customHeight="false" outlineLevel="0" collapsed="false">
      <c r="B38" s="156"/>
      <c r="D38" s="156"/>
      <c r="F38" s="65" t="n">
        <v>4000</v>
      </c>
      <c r="H38" s="157" t="n">
        <v>2500</v>
      </c>
      <c r="J38" s="62"/>
      <c r="L38" s="62" t="n">
        <v>1500</v>
      </c>
      <c r="M38" s="62"/>
      <c r="N38" s="62" t="n">
        <v>1500</v>
      </c>
      <c r="O38" s="62"/>
      <c r="P38" s="62" t="n">
        <v>1500</v>
      </c>
      <c r="Q38" s="62"/>
      <c r="R38" s="158" t="n">
        <v>500</v>
      </c>
      <c r="S38" s="62"/>
      <c r="T38" s="62" t="n">
        <v>30000</v>
      </c>
      <c r="U38" s="62"/>
      <c r="V38" s="62"/>
      <c r="W38" s="62" t="n">
        <v>76000</v>
      </c>
      <c r="X38" s="62"/>
      <c r="Y38" s="62"/>
      <c r="Z38" s="62"/>
    </row>
    <row r="39" customFormat="false" ht="13" hidden="false" customHeight="false" outlineLevel="0" collapsed="false">
      <c r="B39" s="156"/>
      <c r="C39" s="156"/>
      <c r="D39" s="156"/>
      <c r="E39" s="156"/>
      <c r="F39" s="156" t="n">
        <v>1000</v>
      </c>
      <c r="G39" s="156"/>
      <c r="H39" s="156" t="n">
        <v>1000</v>
      </c>
      <c r="I39" s="156"/>
      <c r="J39" s="156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  <c r="Z39" s="156" t="n">
        <v>3000</v>
      </c>
    </row>
    <row r="40" customFormat="false" ht="13" hidden="false" customHeight="false" outlineLevel="0" collapsed="false">
      <c r="A40" s="114"/>
      <c r="B40" s="156" t="n">
        <f aca="false">B36</f>
        <v>123650</v>
      </c>
      <c r="D40" s="156" t="n">
        <f aca="false">D36</f>
        <v>123650</v>
      </c>
      <c r="F40" s="65" t="n">
        <f aca="false">F36-F37-F38-F39</f>
        <v>63678</v>
      </c>
      <c r="H40" s="157" t="n">
        <f aca="false">H36-H37-H38-H39</f>
        <v>70000</v>
      </c>
      <c r="J40" s="156" t="n">
        <f aca="false">J36-J37</f>
        <v>90000</v>
      </c>
      <c r="L40" s="156" t="n">
        <f aca="false">L36-L37-L38</f>
        <v>74300</v>
      </c>
      <c r="N40" s="156" t="n">
        <f aca="false">N36-N38</f>
        <v>64100</v>
      </c>
      <c r="P40" s="159" t="n">
        <f aca="false">P36-P38</f>
        <v>59040</v>
      </c>
      <c r="Q40" s="154"/>
      <c r="R40" s="62" t="n">
        <f aca="false">R36-R38</f>
        <v>21800</v>
      </c>
      <c r="T40" s="156" t="n">
        <f aca="false">T36-T38</f>
        <v>118280</v>
      </c>
      <c r="V40" s="0" t="n">
        <v>4500</v>
      </c>
      <c r="W40" s="156" t="n">
        <f aca="false">W36-W38</f>
        <v>41000</v>
      </c>
      <c r="Z40" s="62" t="n">
        <f aca="false">Z36-Z37</f>
        <v>64500</v>
      </c>
      <c r="AB40" s="0" t="n">
        <v>907000</v>
      </c>
    </row>
    <row r="41" customFormat="false" ht="13" hidden="false" customHeight="false" outlineLevel="0" collapsed="false">
      <c r="A41" s="114"/>
      <c r="B41" s="156"/>
      <c r="D41" s="156"/>
      <c r="F41" s="156" t="n">
        <f aca="false">F40-7500</f>
        <v>56178</v>
      </c>
      <c r="H41" s="154" t="n">
        <v>7500</v>
      </c>
      <c r="J41" s="156"/>
      <c r="L41" s="156"/>
      <c r="N41" s="156"/>
      <c r="P41" s="154"/>
      <c r="Q41" s="154"/>
      <c r="T41" s="156"/>
      <c r="W41" s="156"/>
    </row>
    <row r="42" customFormat="false" ht="13" hidden="false" customHeight="false" outlineLevel="0" collapsed="false">
      <c r="A42" s="114"/>
      <c r="F42" s="156"/>
      <c r="H42" s="62" t="n">
        <f aca="false">H40-H41</f>
        <v>62500</v>
      </c>
      <c r="L42" s="156"/>
    </row>
    <row r="43" customFormat="false" ht="13" hidden="false" customHeight="false" outlineLevel="0" collapsed="false"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</sheetData>
  <mergeCells count="10">
    <mergeCell ref="B1:C1"/>
    <mergeCell ref="D1:E1"/>
    <mergeCell ref="F1:G1"/>
    <mergeCell ref="J1:K1"/>
    <mergeCell ref="L1:M1"/>
    <mergeCell ref="N1:O1"/>
    <mergeCell ref="R1:S1"/>
    <mergeCell ref="T1:U1"/>
    <mergeCell ref="W1:X1"/>
    <mergeCell ref="Z1:AA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LibreOffice/6.4.0.3$Windows_X86_64 LibreOffice_project/b0a288ab3d2d4774cb44b62f04d5d28733ac6df8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2019-12-10T10:08:01Z</dcterms:created>
  <dc:creator>User</dc:creator>
  <dc:description/>
  <dc:language>ru-RU</dc:language>
  <cp:lastModifiedBy>Сусанна</cp:lastModifiedBy>
  <cp:lastPrinted>2021-03-01T11:40:21Z</cp:lastPrinted>
  <dcterms:modified xsi:type="dcterms:W3CDTF">2026-03-29T18:32:14Z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